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codeName="ThisWorkbook" defaultThemeVersion="124226"/>
  <mc:AlternateContent xmlns:mc="http://schemas.openxmlformats.org/markup-compatibility/2006">
    <mc:Choice Requires="x15">
      <x15ac:absPath xmlns:x15ac="http://schemas.microsoft.com/office/spreadsheetml/2010/11/ac" url="C:\Users\czamora\Desktop\PLATAFORMA OPERATIVA\"/>
    </mc:Choice>
  </mc:AlternateContent>
  <xr:revisionPtr revIDLastSave="0" documentId="13_ncr:1_{56581A5B-D8D6-4733-AB30-0428E8D7F8D7}" xr6:coauthVersionLast="47" xr6:coauthVersionMax="47" xr10:uidLastSave="{00000000-0000-0000-0000-000000000000}"/>
  <bookViews>
    <workbookView xWindow="-120" yWindow="-120" windowWidth="20730" windowHeight="11160" tabRatio="839" firstSheet="3" activeTab="12" xr2:uid="{00000000-000D-0000-FFFF-FFFF00000000}"/>
  </bookViews>
  <sheets>
    <sheet name=" Revisión de operaciones" sheetId="1" state="hidden" r:id="rId1"/>
    <sheet name=" Tanteo" sheetId="2" state="hidden" r:id="rId2"/>
    <sheet name="EOR PV PV 180" sheetId="9" r:id="rId3"/>
    <sheet name="P.A. PV 180" sheetId="10" r:id="rId4"/>
    <sheet name="EOR PV 296" sheetId="45" r:id="rId5"/>
    <sheet name="P.A. PV 296" sheetId="46" r:id="rId6"/>
    <sheet name="EOR PV 106" sheetId="11" r:id="rId7"/>
    <sheet name="P.A. PV 106" sheetId="12" r:id="rId8"/>
    <sheet name="EOR PV295" sheetId="43" r:id="rId9"/>
    <sheet name="P.A. PV295" sheetId="44" r:id="rId10"/>
    <sheet name="EOR PV 257" sheetId="13" r:id="rId11"/>
    <sheet name="P.A. PV 257" sheetId="14" r:id="rId12"/>
    <sheet name="EOR PV 141" sheetId="26" r:id="rId13"/>
    <sheet name="PA. PV 141" sheetId="27" r:id="rId14"/>
    <sheet name="EOR PV 102" sheetId="8" r:id="rId15"/>
    <sheet name="P.A. PV 102" sheetId="18" r:id="rId16"/>
    <sheet name="EOR PV 290" sheetId="16" r:id="rId17"/>
    <sheet name="P.A. PV 290" sheetId="15" r:id="rId18"/>
    <sheet name="EOR PV 276" sheetId="19" r:id="rId19"/>
    <sheet name="P.A. PV 276" sheetId="17" r:id="rId20"/>
    <sheet name="EOR PV 266" sheetId="24" r:id="rId21"/>
    <sheet name="P.A. PV 266" sheetId="25" r:id="rId22"/>
    <sheet name="EOR PV 244" sheetId="20" r:id="rId23"/>
    <sheet name="P.A. PV 244" sheetId="21" r:id="rId24"/>
    <sheet name="EOR PV 285" sheetId="22" r:id="rId25"/>
    <sheet name="P.A. PV 285" sheetId="23" r:id="rId26"/>
    <sheet name="EOR PV 225" sheetId="28" r:id="rId27"/>
    <sheet name="P.A. PV 225" sheetId="29" r:id="rId28"/>
    <sheet name="EOR PV 284" sheetId="31" r:id="rId29"/>
    <sheet name="P.A. PV 284" sheetId="32" r:id="rId30"/>
    <sheet name="EOR PV 262" sheetId="33" r:id="rId31"/>
    <sheet name="P.A. PV 262" sheetId="30" r:id="rId32"/>
    <sheet name="EOR PV 283" sheetId="35" r:id="rId33"/>
    <sheet name="P.A. PV 283 " sheetId="36" r:id="rId34"/>
    <sheet name="EOR 226" sheetId="37" r:id="rId35"/>
    <sheet name="P.A. PV 226" sheetId="38" r:id="rId36"/>
    <sheet name="EOR PV 249" sheetId="39" r:id="rId37"/>
    <sheet name="P.A. PV249" sheetId="40" r:id="rId38"/>
    <sheet name="EOR PV 136" sheetId="41" r:id="rId39"/>
    <sheet name="P.A. PV 136" sheetId="42" r:id="rId40"/>
    <sheet name="EOR PV8" sheetId="47" r:id="rId41"/>
    <sheet name="P.A. PV8" sheetId="48" r:id="rId42"/>
    <sheet name="CONSOLIDADO" sheetId="34" r:id="rId43"/>
  </sheets>
  <externalReferences>
    <externalReference r:id="rId44"/>
    <externalReference r:id="rId45"/>
  </externalReferences>
  <definedNames>
    <definedName name="_xlnm._FilterDatabase" localSheetId="14" hidden="1">'[1]One Inspire'!$B$15:$G$52</definedName>
    <definedName name="_xlnm._FilterDatabase" localSheetId="2" hidden="1">'[1]One Inspire'!$B$15:$G$52</definedName>
    <definedName name="_xlnm.Print_Area" localSheetId="0">'[2]Operations Review'!$A$1:$K$125</definedName>
    <definedName name="_xlnm.Print_Area" localSheetId="14">'EOR PV 102'!$A$1:$K$55</definedName>
    <definedName name="_xlnm.Print_Area" localSheetId="2">'EOR PV PV 180'!$A$1:$K$55</definedName>
    <definedName name="CrewGuestSvcPerc">'[2]Operations Review'!$G$117:$H$117</definedName>
    <definedName name="Date">'[2]Operations Review'!$C$2</definedName>
    <definedName name="EffMerchPerc">'[2]Operations Review'!$G$121:$H$121</definedName>
    <definedName name="FoodSafetyPerc">'[2]Operations Review'!$G$115:$H$115</definedName>
    <definedName name="IHRPercPerNum">20</definedName>
    <definedName name="Info" localSheetId="34">'[2]Operations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8">'[2]Operations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6">'[2]Operations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2">'[2]Operations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4">'[2]Operations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8">'[2]Operations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40">'[2]Operations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9">'[2]Operations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5">'[2]Operations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3">'[2]Operations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5">'[2]Operations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37">'[2]Operations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9">'[2]Operations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 localSheetId="41">'[2]Operations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Info">'[2]Operations Review'!$C$1:$C$5,'[2]Operations Review'!$H$10:$H$18,'[2]Operations Review'!$H$20:$H$24,'[2]Operations Review'!$H$26:$H$33,'[2]Operations Review'!$H$35:$H$38,'[2]Operations Review'!$H$40:$H$42,'[2]Operations Review'!#REF!,'[2]Operations Review'!$H$45:$H$54,'[2]Operations Review'!$H$56:$H$62,'[2]Operations Review'!$H$64:$H$68,'[2]Operations Review'!$H$70:$H$73,'[2]Operations Review'!$H$75:$H$81,'[2]Operations Review'!$H$83:$H$87,'[2]Operations Review'!$H$89:$H$96,'[2]Operations Review'!$H$98:$H$104</definedName>
    <definedName name="Location">'[2]Operations Review'!$C$1</definedName>
    <definedName name="PCNum">'[2]Operations Review'!$C$4</definedName>
    <definedName name="ProdQualPerc">'[2]Operations Review'!$G$120:$H$120</definedName>
    <definedName name="PtsAvail">'[2]Operations Review'!$D$123</definedName>
    <definedName name="PtsAward">'[2]Operations Review'!$E$123:$F$123</definedName>
    <definedName name="RstCleanPerc">'[2]Operations Review'!$G$116:$H$116</definedName>
    <definedName name="StoreExpPerc">'[2]Operations Review'!$G$118:$H$118</definedName>
    <definedName name="Time">'[2]Operations Review'!$C$3</definedName>
    <definedName name="TotalPerc">'[2]Operations Review'!$G$123:$H$123</definedName>
  </definedNames>
  <calcPr calcId="181029"/>
</workbook>
</file>

<file path=xl/calcChain.xml><?xml version="1.0" encoding="utf-8"?>
<calcChain xmlns="http://schemas.openxmlformats.org/spreadsheetml/2006/main">
  <c r="W26" i="34" l="1"/>
  <c r="W27" i="34"/>
  <c r="T27" i="34"/>
  <c r="T26" i="34"/>
  <c r="Q27" i="34"/>
  <c r="Q26" i="34"/>
  <c r="N27" i="34"/>
  <c r="N26" i="34"/>
  <c r="H27" i="34"/>
  <c r="H26" i="34"/>
  <c r="E27" i="34"/>
  <c r="E26" i="34"/>
  <c r="K27" i="34"/>
  <c r="K26" i="34"/>
  <c r="B27" i="34"/>
  <c r="B26" i="34"/>
  <c r="D26" i="34"/>
  <c r="D27" i="34"/>
  <c r="B22" i="34"/>
  <c r="B23" i="34"/>
  <c r="B24" i="34"/>
  <c r="B25" i="34"/>
  <c r="B14" i="34"/>
  <c r="B9" i="34" l="1"/>
  <c r="B10" i="34"/>
  <c r="B11" i="34"/>
  <c r="B12" i="34"/>
  <c r="B13" i="34"/>
  <c r="B15" i="34"/>
  <c r="B16" i="34"/>
  <c r="B17" i="34"/>
  <c r="B18" i="34"/>
  <c r="B19" i="34"/>
  <c r="B20" i="34"/>
  <c r="B21" i="34"/>
  <c r="F53" i="47"/>
  <c r="F52" i="47"/>
  <c r="F51" i="47"/>
  <c r="F50" i="47"/>
  <c r="I11" i="47" s="1"/>
  <c r="J11" i="47" s="1"/>
  <c r="F49" i="47"/>
  <c r="F48" i="47"/>
  <c r="F47" i="47"/>
  <c r="F46" i="47"/>
  <c r="I10" i="47" s="1"/>
  <c r="J10" i="47" s="1"/>
  <c r="F45" i="47"/>
  <c r="F44" i="47"/>
  <c r="F43" i="47"/>
  <c r="F42" i="47"/>
  <c r="I9" i="47" s="1"/>
  <c r="J9" i="47" s="1"/>
  <c r="F41" i="47"/>
  <c r="F40" i="47"/>
  <c r="F39" i="47"/>
  <c r="F38" i="47"/>
  <c r="I8" i="47" s="1"/>
  <c r="J8" i="47" s="1"/>
  <c r="F37" i="47"/>
  <c r="F36" i="47"/>
  <c r="F35" i="47"/>
  <c r="F34" i="47"/>
  <c r="F33" i="47"/>
  <c r="F32" i="47"/>
  <c r="F31" i="47"/>
  <c r="F30" i="47"/>
  <c r="F29" i="47"/>
  <c r="F28" i="47"/>
  <c r="F27" i="47"/>
  <c r="F26" i="47"/>
  <c r="I6" i="47" s="1"/>
  <c r="F25" i="47"/>
  <c r="AY23" i="47"/>
  <c r="AY22" i="47"/>
  <c r="AY20" i="47"/>
  <c r="AY19" i="47"/>
  <c r="AY18" i="47"/>
  <c r="AY17" i="47"/>
  <c r="H12" i="47"/>
  <c r="BB7" i="47"/>
  <c r="BB6" i="47"/>
  <c r="H4" i="47" s="1"/>
  <c r="BB4" i="47"/>
  <c r="F53" i="45"/>
  <c r="F52" i="45"/>
  <c r="F51" i="45"/>
  <c r="F50" i="45"/>
  <c r="F49" i="45"/>
  <c r="F48" i="45"/>
  <c r="F47" i="45"/>
  <c r="F46" i="45"/>
  <c r="F45" i="45"/>
  <c r="F44" i="45"/>
  <c r="F43" i="45"/>
  <c r="F42" i="45"/>
  <c r="F41" i="45"/>
  <c r="F40" i="45"/>
  <c r="F39" i="45"/>
  <c r="F38" i="45"/>
  <c r="F37" i="45"/>
  <c r="F36" i="45"/>
  <c r="F35" i="45"/>
  <c r="F34" i="45"/>
  <c r="F33" i="45"/>
  <c r="F32" i="45"/>
  <c r="F31" i="45"/>
  <c r="F30" i="45"/>
  <c r="F29" i="45"/>
  <c r="F28" i="45"/>
  <c r="F27" i="45"/>
  <c r="F26" i="45"/>
  <c r="F25" i="45"/>
  <c r="AY23" i="45"/>
  <c r="AY22" i="45"/>
  <c r="AY20" i="45"/>
  <c r="AY19" i="45"/>
  <c r="BB19" i="45" s="1"/>
  <c r="AY18" i="45"/>
  <c r="AY17" i="45"/>
  <c r="H12" i="45"/>
  <c r="BB7" i="45"/>
  <c r="BB6" i="45"/>
  <c r="H4" i="45" s="1"/>
  <c r="BB4" i="45"/>
  <c r="F53" i="43"/>
  <c r="F52" i="43"/>
  <c r="F51" i="43"/>
  <c r="F50" i="43"/>
  <c r="F49" i="43"/>
  <c r="F48" i="43"/>
  <c r="F47" i="43"/>
  <c r="F46" i="43"/>
  <c r="F45" i="43"/>
  <c r="F44" i="43"/>
  <c r="F43" i="43"/>
  <c r="F42" i="43"/>
  <c r="F41" i="43"/>
  <c r="F40" i="43"/>
  <c r="F39" i="43"/>
  <c r="F38" i="43"/>
  <c r="F37" i="43"/>
  <c r="F36" i="43"/>
  <c r="F35" i="43"/>
  <c r="F34" i="43"/>
  <c r="F33" i="43"/>
  <c r="F32" i="43"/>
  <c r="F31" i="43"/>
  <c r="F30" i="43"/>
  <c r="F29" i="43"/>
  <c r="F28" i="43"/>
  <c r="F27" i="43"/>
  <c r="F26" i="43"/>
  <c r="F25" i="43"/>
  <c r="AY23" i="43"/>
  <c r="AY22" i="43"/>
  <c r="AY20" i="43"/>
  <c r="AY19" i="43"/>
  <c r="AY18" i="43"/>
  <c r="BB17" i="43"/>
  <c r="AY17" i="43"/>
  <c r="H12" i="43"/>
  <c r="BB7" i="43"/>
  <c r="BB6" i="43"/>
  <c r="BB4" i="43"/>
  <c r="H4" i="43"/>
  <c r="T25" i="34"/>
  <c r="Q25" i="34"/>
  <c r="N25" i="34"/>
  <c r="K25" i="34"/>
  <c r="H25" i="34"/>
  <c r="E25" i="34"/>
  <c r="F53" i="41"/>
  <c r="F52" i="41"/>
  <c r="F51" i="41"/>
  <c r="F50" i="41"/>
  <c r="F49" i="41"/>
  <c r="F48" i="41"/>
  <c r="F47" i="41"/>
  <c r="F46" i="41"/>
  <c r="F45" i="41"/>
  <c r="F44" i="41"/>
  <c r="F43" i="41"/>
  <c r="F42" i="41"/>
  <c r="F41" i="41"/>
  <c r="F40" i="41"/>
  <c r="F39" i="41"/>
  <c r="F38" i="41"/>
  <c r="F37" i="41"/>
  <c r="I8" i="41" s="1"/>
  <c r="F36" i="41"/>
  <c r="F35" i="41"/>
  <c r="F34" i="41"/>
  <c r="F33" i="41"/>
  <c r="F32" i="41"/>
  <c r="F31" i="41"/>
  <c r="F30" i="41"/>
  <c r="F29" i="41"/>
  <c r="F28" i="41"/>
  <c r="F27" i="41"/>
  <c r="F26" i="41"/>
  <c r="F25" i="41"/>
  <c r="AY23" i="41"/>
  <c r="AY22" i="41"/>
  <c r="AY20" i="41"/>
  <c r="AY19" i="41"/>
  <c r="AY18" i="41"/>
  <c r="AY17" i="41"/>
  <c r="BB17" i="41" s="1"/>
  <c r="H12" i="41"/>
  <c r="W25" i="34" s="1"/>
  <c r="BB7" i="41"/>
  <c r="BB6" i="41"/>
  <c r="BB4" i="41"/>
  <c r="H4" i="41"/>
  <c r="D25" i="34" s="1"/>
  <c r="T24" i="34"/>
  <c r="Q24" i="34"/>
  <c r="N24" i="34"/>
  <c r="K24" i="34"/>
  <c r="H24" i="34"/>
  <c r="E24" i="34"/>
  <c r="F53" i="39"/>
  <c r="F52" i="39"/>
  <c r="F51" i="39"/>
  <c r="F50" i="39"/>
  <c r="F49" i="39"/>
  <c r="F48" i="39"/>
  <c r="F47" i="39"/>
  <c r="F46" i="39"/>
  <c r="F45" i="39"/>
  <c r="F44" i="39"/>
  <c r="F43" i="39"/>
  <c r="F42" i="39"/>
  <c r="F41" i="39"/>
  <c r="F40" i="39"/>
  <c r="F39" i="39"/>
  <c r="F38" i="39"/>
  <c r="F37" i="39"/>
  <c r="F36" i="39"/>
  <c r="I8" i="39" s="1"/>
  <c r="J8" i="39" s="1"/>
  <c r="F35" i="39"/>
  <c r="F34" i="39"/>
  <c r="F33" i="39"/>
  <c r="F32" i="39"/>
  <c r="F31" i="39"/>
  <c r="F30" i="39"/>
  <c r="F29" i="39"/>
  <c r="F28" i="39"/>
  <c r="F27" i="39"/>
  <c r="F26" i="39"/>
  <c r="F25" i="39"/>
  <c r="AY23" i="39"/>
  <c r="AY22" i="39"/>
  <c r="AY20" i="39"/>
  <c r="AY19" i="39"/>
  <c r="AY18" i="39"/>
  <c r="BB18" i="39" s="1"/>
  <c r="AY17" i="39"/>
  <c r="BB17" i="39" s="1"/>
  <c r="H12" i="39"/>
  <c r="W24" i="34" s="1"/>
  <c r="BB7" i="39"/>
  <c r="BB6" i="39"/>
  <c r="BB4" i="39"/>
  <c r="H4" i="39"/>
  <c r="D24" i="34" s="1"/>
  <c r="T23" i="34"/>
  <c r="Q23" i="34"/>
  <c r="N23" i="34"/>
  <c r="K23" i="34"/>
  <c r="H23" i="34"/>
  <c r="E23" i="34"/>
  <c r="T22" i="34"/>
  <c r="Q22" i="34"/>
  <c r="N22" i="34"/>
  <c r="K22" i="34"/>
  <c r="H22" i="34"/>
  <c r="D22" i="34"/>
  <c r="E22" i="34"/>
  <c r="F53" i="37"/>
  <c r="F52" i="37"/>
  <c r="F51" i="37"/>
  <c r="F50" i="37"/>
  <c r="F49" i="37"/>
  <c r="F48" i="37"/>
  <c r="F47" i="37"/>
  <c r="F46" i="37"/>
  <c r="F45" i="37"/>
  <c r="F44" i="37"/>
  <c r="F43" i="37"/>
  <c r="F42" i="37"/>
  <c r="F41" i="37"/>
  <c r="F40" i="37"/>
  <c r="F39" i="37"/>
  <c r="F38" i="37"/>
  <c r="F37" i="37"/>
  <c r="F36" i="37"/>
  <c r="F35" i="37"/>
  <c r="F34" i="37"/>
  <c r="F33" i="37"/>
  <c r="F32" i="37"/>
  <c r="F31" i="37"/>
  <c r="F30" i="37"/>
  <c r="F29" i="37"/>
  <c r="F28" i="37"/>
  <c r="F27" i="37"/>
  <c r="F26" i="37"/>
  <c r="F25" i="37"/>
  <c r="AY23" i="37"/>
  <c r="AY22" i="37"/>
  <c r="AY20" i="37"/>
  <c r="AY19" i="37"/>
  <c r="AY18" i="37"/>
  <c r="BB19" i="37" s="1"/>
  <c r="AY17" i="37"/>
  <c r="H12" i="37"/>
  <c r="W23" i="34" s="1"/>
  <c r="I8" i="37"/>
  <c r="J8" i="37" s="1"/>
  <c r="BB7" i="37"/>
  <c r="BB6" i="37"/>
  <c r="H4" i="37" s="1"/>
  <c r="D23" i="34" s="1"/>
  <c r="BB4" i="37"/>
  <c r="F53" i="35"/>
  <c r="F52" i="35"/>
  <c r="F51" i="35"/>
  <c r="F50"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AY23" i="35"/>
  <c r="AY22" i="35"/>
  <c r="AY20" i="35"/>
  <c r="AY19" i="35"/>
  <c r="BB18" i="35"/>
  <c r="AY18" i="35"/>
  <c r="AY17" i="35"/>
  <c r="BB19" i="35" s="1"/>
  <c r="H12" i="35"/>
  <c r="W22" i="34" s="1"/>
  <c r="BB7" i="35"/>
  <c r="BB6" i="35"/>
  <c r="H4" i="35" s="1"/>
  <c r="BB4" i="35"/>
  <c r="I8" i="43" l="1"/>
  <c r="L26" i="34" s="1"/>
  <c r="M26" i="34" s="1"/>
  <c r="I7" i="43"/>
  <c r="I26" i="34" s="1"/>
  <c r="J26" i="34" s="1"/>
  <c r="I7" i="41"/>
  <c r="J7" i="41" s="1"/>
  <c r="I6" i="35"/>
  <c r="J6" i="35" s="1"/>
  <c r="I11" i="35"/>
  <c r="J11" i="35" s="1"/>
  <c r="I9" i="41"/>
  <c r="J9" i="41" s="1"/>
  <c r="I11" i="41"/>
  <c r="J11" i="41" s="1"/>
  <c r="I10" i="41"/>
  <c r="J10" i="41" s="1"/>
  <c r="I6" i="41"/>
  <c r="F25" i="34" s="1"/>
  <c r="G25" i="34" s="1"/>
  <c r="I11" i="37"/>
  <c r="J11" i="37" s="1"/>
  <c r="I7" i="37"/>
  <c r="I23" i="34" s="1"/>
  <c r="J23" i="34" s="1"/>
  <c r="I9" i="35"/>
  <c r="J9" i="35" s="1"/>
  <c r="I7" i="35"/>
  <c r="J7" i="35" s="1"/>
  <c r="J7" i="43"/>
  <c r="J8" i="43"/>
  <c r="J8" i="41"/>
  <c r="L25" i="34"/>
  <c r="I9" i="37"/>
  <c r="I6" i="39"/>
  <c r="F24" i="34" s="1"/>
  <c r="G24" i="34" s="1"/>
  <c r="I9" i="39"/>
  <c r="I11" i="39"/>
  <c r="BB18" i="43"/>
  <c r="BB17" i="35"/>
  <c r="I8" i="35"/>
  <c r="I6" i="43"/>
  <c r="F26" i="34" s="1"/>
  <c r="G26" i="34" s="1"/>
  <c r="I9" i="43"/>
  <c r="O26" i="34" s="1"/>
  <c r="P26" i="34" s="1"/>
  <c r="I11" i="43"/>
  <c r="U26" i="34" s="1"/>
  <c r="BB19" i="47"/>
  <c r="L24" i="34"/>
  <c r="M24" i="34" s="1"/>
  <c r="I6" i="37"/>
  <c r="F23" i="34" s="1"/>
  <c r="G23" i="34" s="1"/>
  <c r="I7" i="39"/>
  <c r="I6" i="45"/>
  <c r="I8" i="45"/>
  <c r="I9" i="45"/>
  <c r="I11" i="45"/>
  <c r="I10" i="37"/>
  <c r="I10" i="39"/>
  <c r="I7" i="45"/>
  <c r="I10" i="45"/>
  <c r="I10" i="35"/>
  <c r="L23" i="34"/>
  <c r="M23" i="34" s="1"/>
  <c r="BB18" i="41"/>
  <c r="I10" i="43"/>
  <c r="R26" i="34" s="1"/>
  <c r="S26" i="34" s="1"/>
  <c r="BB18" i="45"/>
  <c r="I7" i="47"/>
  <c r="J7" i="47" s="1"/>
  <c r="J6" i="47"/>
  <c r="BB17" i="47"/>
  <c r="BB18" i="47"/>
  <c r="BB17" i="45"/>
  <c r="BB19" i="43"/>
  <c r="M25" i="34"/>
  <c r="BB19" i="41"/>
  <c r="BB19" i="39"/>
  <c r="BB17" i="37"/>
  <c r="BB18" i="37"/>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E9" i="34"/>
  <c r="H9" i="34"/>
  <c r="K9" i="34"/>
  <c r="N9" i="34"/>
  <c r="Q9" i="34"/>
  <c r="T9" i="34"/>
  <c r="F25" i="11"/>
  <c r="F26" i="11"/>
  <c r="F27" i="11"/>
  <c r="F28" i="11"/>
  <c r="F29" i="11"/>
  <c r="F30" i="11"/>
  <c r="F31" i="11"/>
  <c r="F32" i="11"/>
  <c r="F33" i="11"/>
  <c r="F34" i="11"/>
  <c r="F35" i="11"/>
  <c r="F36" i="11"/>
  <c r="F37" i="11"/>
  <c r="F38" i="11"/>
  <c r="F39" i="11"/>
  <c r="F40" i="11"/>
  <c r="I8" i="11" s="1"/>
  <c r="F41" i="11"/>
  <c r="F42" i="11"/>
  <c r="F43" i="11"/>
  <c r="F44" i="11"/>
  <c r="F45" i="11"/>
  <c r="F46" i="11"/>
  <c r="F47" i="11"/>
  <c r="F48" i="11"/>
  <c r="F49" i="11"/>
  <c r="F50" i="11"/>
  <c r="F51" i="11"/>
  <c r="F52" i="11"/>
  <c r="F53" i="11"/>
  <c r="E10" i="34"/>
  <c r="H10" i="34"/>
  <c r="K10" i="34"/>
  <c r="N10" i="34"/>
  <c r="Q10" i="34"/>
  <c r="T10" i="34"/>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E11" i="34"/>
  <c r="H11" i="34"/>
  <c r="K11" i="34"/>
  <c r="N11" i="34"/>
  <c r="Q11" i="34"/>
  <c r="T11" i="34"/>
  <c r="F25" i="8"/>
  <c r="F26" i="8"/>
  <c r="F27" i="8"/>
  <c r="F28" i="8"/>
  <c r="F29" i="8"/>
  <c r="F30" i="8"/>
  <c r="F31" i="8"/>
  <c r="F32" i="8"/>
  <c r="F33" i="8"/>
  <c r="F34" i="8"/>
  <c r="F35" i="8"/>
  <c r="F36" i="8"/>
  <c r="F37" i="8"/>
  <c r="F38" i="8"/>
  <c r="F39" i="8"/>
  <c r="F40" i="8"/>
  <c r="F41" i="8"/>
  <c r="F42" i="8"/>
  <c r="F43" i="8"/>
  <c r="F44" i="8"/>
  <c r="F45" i="8"/>
  <c r="F46" i="8"/>
  <c r="F47" i="8"/>
  <c r="F48" i="8"/>
  <c r="F49" i="8"/>
  <c r="F50" i="8"/>
  <c r="F51" i="8"/>
  <c r="F52" i="8"/>
  <c r="F53" i="8"/>
  <c r="E12" i="34"/>
  <c r="H12" i="34"/>
  <c r="K12" i="34"/>
  <c r="N12" i="34"/>
  <c r="Q12" i="34"/>
  <c r="T12" i="34"/>
  <c r="F25" i="16"/>
  <c r="F26" i="16"/>
  <c r="F27" i="16"/>
  <c r="F28" i="16"/>
  <c r="F29" i="16"/>
  <c r="F30" i="16"/>
  <c r="F31" i="16"/>
  <c r="F32" i="16"/>
  <c r="F33" i="16"/>
  <c r="F34" i="16"/>
  <c r="F35" i="16"/>
  <c r="F36" i="16"/>
  <c r="F37" i="16"/>
  <c r="F38" i="16"/>
  <c r="F39" i="16"/>
  <c r="F40" i="16"/>
  <c r="F41" i="16"/>
  <c r="F42" i="16"/>
  <c r="F43" i="16"/>
  <c r="F44" i="16"/>
  <c r="F45" i="16"/>
  <c r="F46" i="16"/>
  <c r="F47" i="16"/>
  <c r="F48" i="16"/>
  <c r="F49" i="16"/>
  <c r="F50" i="16"/>
  <c r="F51" i="16"/>
  <c r="F52" i="16"/>
  <c r="F53" i="16"/>
  <c r="E13" i="34"/>
  <c r="H13" i="34"/>
  <c r="K13" i="34"/>
  <c r="N13" i="34"/>
  <c r="Q13" i="34"/>
  <c r="T13" i="34"/>
  <c r="F25" i="19"/>
  <c r="F26" i="19"/>
  <c r="F27" i="19"/>
  <c r="F28" i="19"/>
  <c r="F29" i="19"/>
  <c r="F30" i="19"/>
  <c r="F31" i="19"/>
  <c r="F32" i="19"/>
  <c r="F33" i="19"/>
  <c r="F34" i="19"/>
  <c r="F35" i="19"/>
  <c r="F36" i="19"/>
  <c r="F37" i="19"/>
  <c r="F38" i="19"/>
  <c r="F39" i="19"/>
  <c r="F40" i="19"/>
  <c r="I8" i="19" s="1"/>
  <c r="L14" i="34" s="1"/>
  <c r="F41" i="19"/>
  <c r="F42" i="19"/>
  <c r="F43" i="19"/>
  <c r="F44" i="19"/>
  <c r="F45" i="19"/>
  <c r="F46" i="19"/>
  <c r="F47" i="19"/>
  <c r="F48" i="19"/>
  <c r="F49" i="19"/>
  <c r="F50" i="19"/>
  <c r="F51" i="19"/>
  <c r="F52" i="19"/>
  <c r="F53" i="19"/>
  <c r="E14" i="34"/>
  <c r="H14" i="34"/>
  <c r="K14" i="34"/>
  <c r="N14" i="34"/>
  <c r="Q14" i="34"/>
  <c r="T14" i="34"/>
  <c r="F25" i="20"/>
  <c r="F26" i="20"/>
  <c r="F27" i="20"/>
  <c r="F28" i="20"/>
  <c r="F29" i="20"/>
  <c r="F30" i="20"/>
  <c r="F31" i="20"/>
  <c r="F32" i="20"/>
  <c r="F33" i="20"/>
  <c r="F34" i="20"/>
  <c r="F35" i="20"/>
  <c r="F36" i="20"/>
  <c r="F37" i="20"/>
  <c r="F38" i="20"/>
  <c r="F39" i="20"/>
  <c r="F40" i="20"/>
  <c r="F41" i="20"/>
  <c r="F42" i="20"/>
  <c r="F43" i="20"/>
  <c r="F44" i="20"/>
  <c r="F45" i="20"/>
  <c r="F46" i="20"/>
  <c r="F47" i="20"/>
  <c r="F48" i="20"/>
  <c r="F49" i="20"/>
  <c r="F50" i="20"/>
  <c r="F51" i="20"/>
  <c r="F52" i="20"/>
  <c r="F53" i="20"/>
  <c r="E15" i="34"/>
  <c r="H15" i="34"/>
  <c r="K15" i="34"/>
  <c r="N15" i="34"/>
  <c r="Q15" i="34"/>
  <c r="T15" i="34"/>
  <c r="F25" i="22"/>
  <c r="F26" i="22"/>
  <c r="F27" i="22"/>
  <c r="F28" i="22"/>
  <c r="F29" i="22"/>
  <c r="F30" i="22"/>
  <c r="F31" i="22"/>
  <c r="F32" i="22"/>
  <c r="F33" i="22"/>
  <c r="F34" i="22"/>
  <c r="F35" i="22"/>
  <c r="F36" i="22"/>
  <c r="F37" i="22"/>
  <c r="F38" i="22"/>
  <c r="F39" i="22"/>
  <c r="F40" i="22"/>
  <c r="F41" i="22"/>
  <c r="F42" i="22"/>
  <c r="F43" i="22"/>
  <c r="F44" i="22"/>
  <c r="F45" i="22"/>
  <c r="F46" i="22"/>
  <c r="F47" i="22"/>
  <c r="F48" i="22"/>
  <c r="I10" i="22" s="1"/>
  <c r="F49" i="22"/>
  <c r="F50" i="22"/>
  <c r="F51" i="22"/>
  <c r="F52" i="22"/>
  <c r="F53" i="22"/>
  <c r="E16" i="34"/>
  <c r="H16" i="34"/>
  <c r="K16" i="34"/>
  <c r="N16" i="34"/>
  <c r="Q16" i="34"/>
  <c r="T16" i="34"/>
  <c r="F25" i="24"/>
  <c r="F26" i="24"/>
  <c r="F27" i="24"/>
  <c r="F28" i="24"/>
  <c r="F29" i="24"/>
  <c r="F30" i="24"/>
  <c r="F31" i="24"/>
  <c r="F32" i="24"/>
  <c r="F33" i="24"/>
  <c r="F34" i="24"/>
  <c r="F35" i="24"/>
  <c r="F36" i="24"/>
  <c r="F37" i="24"/>
  <c r="F38" i="24"/>
  <c r="F39" i="24"/>
  <c r="F40" i="24"/>
  <c r="F41" i="24"/>
  <c r="F42" i="24"/>
  <c r="F43" i="24"/>
  <c r="F44" i="24"/>
  <c r="F45" i="24"/>
  <c r="F46" i="24"/>
  <c r="F47" i="24"/>
  <c r="F48" i="24"/>
  <c r="F49" i="24"/>
  <c r="F50" i="24"/>
  <c r="F51" i="24"/>
  <c r="F52" i="24"/>
  <c r="F53" i="24"/>
  <c r="E17" i="34"/>
  <c r="H17" i="34"/>
  <c r="K17" i="34"/>
  <c r="N17" i="34"/>
  <c r="Q17" i="34"/>
  <c r="T17" i="34"/>
  <c r="F25" i="26"/>
  <c r="F26" i="26"/>
  <c r="F27" i="26"/>
  <c r="F28" i="26"/>
  <c r="F29" i="26"/>
  <c r="F30" i="26"/>
  <c r="F31" i="26"/>
  <c r="F32" i="26"/>
  <c r="F33" i="26"/>
  <c r="F34" i="26"/>
  <c r="F35" i="26"/>
  <c r="F36" i="26"/>
  <c r="F37" i="26"/>
  <c r="I8" i="26" s="1"/>
  <c r="F38" i="26"/>
  <c r="F39" i="26"/>
  <c r="F40" i="26"/>
  <c r="F41" i="26"/>
  <c r="F42" i="26"/>
  <c r="F43" i="26"/>
  <c r="F44" i="26"/>
  <c r="F45" i="26"/>
  <c r="F46" i="26"/>
  <c r="F47" i="26"/>
  <c r="F48" i="26"/>
  <c r="F49" i="26"/>
  <c r="F50" i="26"/>
  <c r="F51" i="26"/>
  <c r="F52" i="26"/>
  <c r="F53" i="26"/>
  <c r="E18" i="34"/>
  <c r="H18" i="34"/>
  <c r="K18" i="34"/>
  <c r="N18" i="34"/>
  <c r="Q18" i="34"/>
  <c r="T18" i="34"/>
  <c r="F25" i="28"/>
  <c r="F26" i="28"/>
  <c r="F27" i="28"/>
  <c r="F28" i="28"/>
  <c r="F29" i="28"/>
  <c r="F30" i="28"/>
  <c r="F31" i="28"/>
  <c r="F32" i="28"/>
  <c r="F33" i="28"/>
  <c r="F34" i="28"/>
  <c r="F35" i="28"/>
  <c r="F36" i="28"/>
  <c r="F37" i="28"/>
  <c r="F38" i="28"/>
  <c r="F39" i="28"/>
  <c r="F40" i="28"/>
  <c r="F41" i="28"/>
  <c r="F42" i="28"/>
  <c r="F43" i="28"/>
  <c r="F44" i="28"/>
  <c r="F45" i="28"/>
  <c r="F46" i="28"/>
  <c r="F47" i="28"/>
  <c r="F48" i="28"/>
  <c r="F49" i="28"/>
  <c r="F50" i="28"/>
  <c r="F51" i="28"/>
  <c r="F52" i="28"/>
  <c r="F53" i="28"/>
  <c r="E19" i="34"/>
  <c r="H19" i="34"/>
  <c r="K19" i="34"/>
  <c r="N19" i="34"/>
  <c r="Q19" i="34"/>
  <c r="T19" i="34"/>
  <c r="F25" i="31"/>
  <c r="F26" i="31"/>
  <c r="F27" i="31"/>
  <c r="F28" i="31"/>
  <c r="F29" i="31"/>
  <c r="F30" i="31"/>
  <c r="F31" i="31"/>
  <c r="F32" i="31"/>
  <c r="F33" i="31"/>
  <c r="F34" i="31"/>
  <c r="F35" i="31"/>
  <c r="F36" i="31"/>
  <c r="F37" i="31"/>
  <c r="F38" i="31"/>
  <c r="F39" i="31"/>
  <c r="I8" i="31" s="1"/>
  <c r="F40" i="31"/>
  <c r="F41" i="31"/>
  <c r="F42" i="31"/>
  <c r="F43" i="31"/>
  <c r="F44" i="31"/>
  <c r="F45" i="31"/>
  <c r="F46" i="31"/>
  <c r="F47" i="31"/>
  <c r="F48" i="31"/>
  <c r="F49" i="31"/>
  <c r="F50" i="31"/>
  <c r="F51" i="31"/>
  <c r="F52" i="31"/>
  <c r="F53" i="31"/>
  <c r="E20" i="34"/>
  <c r="H20" i="34"/>
  <c r="K20" i="34"/>
  <c r="N20" i="34"/>
  <c r="Q20" i="34"/>
  <c r="T20" i="34"/>
  <c r="F25" i="33"/>
  <c r="F26" i="33"/>
  <c r="F27" i="33"/>
  <c r="F28" i="33"/>
  <c r="F29" i="33"/>
  <c r="F30" i="33"/>
  <c r="F31" i="33"/>
  <c r="F32" i="33"/>
  <c r="F33" i="33"/>
  <c r="F34" i="33"/>
  <c r="F35" i="33"/>
  <c r="F36" i="33"/>
  <c r="F37" i="33"/>
  <c r="F38" i="33"/>
  <c r="F39" i="33"/>
  <c r="F40" i="33"/>
  <c r="F41" i="33"/>
  <c r="F42" i="33"/>
  <c r="F43" i="33"/>
  <c r="F44" i="33"/>
  <c r="F45" i="33"/>
  <c r="F46" i="33"/>
  <c r="F47" i="33"/>
  <c r="F48" i="33"/>
  <c r="F49" i="33"/>
  <c r="F50" i="33"/>
  <c r="F51" i="33"/>
  <c r="F52" i="33"/>
  <c r="F53" i="33"/>
  <c r="E21" i="34"/>
  <c r="H21" i="34"/>
  <c r="K21" i="34"/>
  <c r="N21" i="34"/>
  <c r="Q21" i="34"/>
  <c r="T21" i="34"/>
  <c r="BB6" i="33"/>
  <c r="H4" i="33"/>
  <c r="D21" i="34" s="1"/>
  <c r="BB6" i="31"/>
  <c r="H4" i="31"/>
  <c r="D20" i="34" s="1"/>
  <c r="BB6" i="28"/>
  <c r="H4" i="28" s="1"/>
  <c r="D19" i="34" s="1"/>
  <c r="BB6" i="26"/>
  <c r="H4" i="26" s="1"/>
  <c r="D18" i="34" s="1"/>
  <c r="BB6" i="24"/>
  <c r="H4" i="24" s="1"/>
  <c r="D17" i="34" s="1"/>
  <c r="BB6" i="22"/>
  <c r="H4" i="22" s="1"/>
  <c r="D16" i="34" s="1"/>
  <c r="BB6" i="20"/>
  <c r="H4" i="20" s="1"/>
  <c r="D15" i="34" s="1"/>
  <c r="BB6" i="19"/>
  <c r="H4" i="19" s="1"/>
  <c r="D14" i="34" s="1"/>
  <c r="BB6" i="16"/>
  <c r="H4" i="16" s="1"/>
  <c r="D13" i="34" s="1"/>
  <c r="BB6" i="8"/>
  <c r="H4" i="8"/>
  <c r="D12" i="34" s="1"/>
  <c r="BB6" i="13"/>
  <c r="H4" i="13" s="1"/>
  <c r="D11" i="34" s="1"/>
  <c r="BB6" i="11"/>
  <c r="H4" i="11" s="1"/>
  <c r="D10" i="34" s="1"/>
  <c r="BB6" i="9"/>
  <c r="H4" i="9" s="1"/>
  <c r="D9" i="34" s="1"/>
  <c r="AY23" i="33"/>
  <c r="AY22" i="33"/>
  <c r="AY20" i="33"/>
  <c r="AY19" i="33"/>
  <c r="AY18" i="33"/>
  <c r="AY17" i="33"/>
  <c r="BB19" i="33"/>
  <c r="H12" i="33"/>
  <c r="BB7" i="33"/>
  <c r="BB4" i="33"/>
  <c r="AY23" i="31"/>
  <c r="AY22" i="31"/>
  <c r="AY20" i="31"/>
  <c r="AY19" i="31"/>
  <c r="AY18" i="31"/>
  <c r="AY17" i="31"/>
  <c r="BB19" i="31" s="1"/>
  <c r="H12" i="31"/>
  <c r="BB7" i="31"/>
  <c r="BB4" i="31"/>
  <c r="AY23" i="28"/>
  <c r="AY22" i="28"/>
  <c r="AY20" i="28"/>
  <c r="AY19" i="28"/>
  <c r="AY18" i="28"/>
  <c r="AY17" i="28"/>
  <c r="BB19" i="28" s="1"/>
  <c r="H12" i="28"/>
  <c r="BB7" i="28"/>
  <c r="BB4" i="28"/>
  <c r="AY23" i="26"/>
  <c r="AY22" i="26"/>
  <c r="AY20" i="26"/>
  <c r="AY19" i="26"/>
  <c r="AY18" i="26"/>
  <c r="AY17" i="26"/>
  <c r="BB19" i="26"/>
  <c r="H12" i="26"/>
  <c r="BB7" i="26"/>
  <c r="BB4" i="26"/>
  <c r="AY23" i="24"/>
  <c r="AY22" i="24"/>
  <c r="AY20" i="24"/>
  <c r="AY19" i="24"/>
  <c r="AY18" i="24"/>
  <c r="BB17" i="24" s="1"/>
  <c r="AY17" i="24"/>
  <c r="BB19" i="24" s="1"/>
  <c r="H12" i="24"/>
  <c r="BB7" i="24"/>
  <c r="BB4" i="24"/>
  <c r="AY23" i="22"/>
  <c r="AY22" i="22"/>
  <c r="AY20" i="22"/>
  <c r="AY19" i="22"/>
  <c r="AY18" i="22"/>
  <c r="AY17" i="22"/>
  <c r="BB19" i="22" s="1"/>
  <c r="H12" i="22"/>
  <c r="BB7" i="22"/>
  <c r="BB4" i="22"/>
  <c r="AY23" i="20"/>
  <c r="AY22" i="20"/>
  <c r="AY20" i="20"/>
  <c r="BB18" i="20" s="1"/>
  <c r="AY19" i="20"/>
  <c r="AY18" i="20"/>
  <c r="AY17" i="20"/>
  <c r="BB19" i="20"/>
  <c r="H12" i="20"/>
  <c r="BB7" i="20"/>
  <c r="BB4" i="20"/>
  <c r="AY23" i="19"/>
  <c r="AY22" i="19"/>
  <c r="AY20" i="19"/>
  <c r="AY19" i="19"/>
  <c r="AY18" i="19"/>
  <c r="BB18" i="19" s="1"/>
  <c r="AY17" i="19"/>
  <c r="BB19" i="19" s="1"/>
  <c r="H12" i="19"/>
  <c r="BB7" i="19"/>
  <c r="BB4" i="19"/>
  <c r="AY23" i="16"/>
  <c r="AY22" i="16"/>
  <c r="AY20" i="16"/>
  <c r="AY19" i="16"/>
  <c r="AY18" i="16"/>
  <c r="AY17" i="16"/>
  <c r="BB19" i="16" s="1"/>
  <c r="H12" i="16"/>
  <c r="BB7" i="16"/>
  <c r="BB4" i="16"/>
  <c r="AY23" i="13"/>
  <c r="AY22" i="13"/>
  <c r="AY20" i="13"/>
  <c r="AY19" i="13"/>
  <c r="BB19" i="13" s="1"/>
  <c r="AY18" i="13"/>
  <c r="AY17" i="13"/>
  <c r="H12" i="13"/>
  <c r="BB7" i="13"/>
  <c r="BB4" i="13"/>
  <c r="AY23" i="11"/>
  <c r="AY22" i="11"/>
  <c r="AY20" i="11"/>
  <c r="AY19" i="11"/>
  <c r="BB19" i="11" s="1"/>
  <c r="AY18" i="11"/>
  <c r="AY17" i="11"/>
  <c r="H12" i="11"/>
  <c r="BB7" i="11"/>
  <c r="BB4" i="11"/>
  <c r="AY23" i="9"/>
  <c r="AY22" i="9"/>
  <c r="AY20" i="9"/>
  <c r="AY19" i="9"/>
  <c r="AY17" i="9"/>
  <c r="BB19" i="9" s="1"/>
  <c r="AY18" i="9"/>
  <c r="H12" i="9"/>
  <c r="BB7" i="9"/>
  <c r="BB4" i="9"/>
  <c r="AY23" i="8"/>
  <c r="AY22" i="8"/>
  <c r="AY20" i="8"/>
  <c r="AY19" i="8"/>
  <c r="AY18" i="8"/>
  <c r="BB17" i="8" s="1"/>
  <c r="AY17" i="8"/>
  <c r="BB19" i="8" s="1"/>
  <c r="H12" i="8"/>
  <c r="BB7" i="8"/>
  <c r="BB4" i="8"/>
  <c r="BB18" i="33"/>
  <c r="BB17" i="33"/>
  <c r="BB18" i="31"/>
  <c r="BB17" i="31"/>
  <c r="BB18" i="28"/>
  <c r="BB18" i="26"/>
  <c r="BB17" i="26"/>
  <c r="BB18" i="22"/>
  <c r="BB17" i="20"/>
  <c r="BB17" i="13"/>
  <c r="BB18" i="8"/>
  <c r="I24" i="1"/>
  <c r="I59" i="1"/>
  <c r="E117" i="1" s="1"/>
  <c r="I31" i="1"/>
  <c r="I43" i="1"/>
  <c r="I42" i="1"/>
  <c r="E112" i="1" s="1"/>
  <c r="I41" i="1"/>
  <c r="I40" i="1"/>
  <c r="I38" i="1"/>
  <c r="I37" i="1"/>
  <c r="I36" i="1"/>
  <c r="I35" i="1"/>
  <c r="I34" i="1"/>
  <c r="I33" i="1"/>
  <c r="D111" i="1" s="1"/>
  <c r="I30" i="1"/>
  <c r="I28" i="1"/>
  <c r="I27" i="1"/>
  <c r="I26" i="1"/>
  <c r="E113" i="1" s="1"/>
  <c r="D114" i="1"/>
  <c r="E114" i="1"/>
  <c r="I11" i="1"/>
  <c r="I12" i="1"/>
  <c r="I13" i="1"/>
  <c r="I14" i="1"/>
  <c r="I15" i="1"/>
  <c r="I16" i="1"/>
  <c r="I17" i="1"/>
  <c r="I18" i="1"/>
  <c r="I10" i="1"/>
  <c r="I56" i="1"/>
  <c r="I53" i="1"/>
  <c r="I86" i="1"/>
  <c r="I67" i="1"/>
  <c r="I71" i="1"/>
  <c r="I72" i="1"/>
  <c r="I95" i="1"/>
  <c r="I20" i="1"/>
  <c r="I21" i="1"/>
  <c r="I22" i="1"/>
  <c r="I23" i="1"/>
  <c r="I45" i="1"/>
  <c r="I46" i="1"/>
  <c r="I47" i="1"/>
  <c r="I48" i="1"/>
  <c r="D116" i="1" s="1"/>
  <c r="I49" i="1"/>
  <c r="I50" i="1"/>
  <c r="I51" i="1"/>
  <c r="I52" i="1"/>
  <c r="I54" i="1"/>
  <c r="I57" i="1"/>
  <c r="I58" i="1"/>
  <c r="I60" i="1"/>
  <c r="I61" i="1"/>
  <c r="I62" i="1"/>
  <c r="I64" i="1"/>
  <c r="I65" i="1"/>
  <c r="D118" i="1" s="1"/>
  <c r="I66" i="1"/>
  <c r="I68" i="1"/>
  <c r="I70" i="1"/>
  <c r="I73" i="1"/>
  <c r="E119" i="1" s="1"/>
  <c r="G119" i="1" s="1"/>
  <c r="I75" i="1"/>
  <c r="I76" i="1"/>
  <c r="I77" i="1"/>
  <c r="I78" i="1"/>
  <c r="D120" i="1" s="1"/>
  <c r="G120" i="1" s="1"/>
  <c r="I79" i="1"/>
  <c r="I80" i="1"/>
  <c r="I81" i="1"/>
  <c r="I83" i="1"/>
  <c r="E121" i="1" s="1"/>
  <c r="I84" i="1"/>
  <c r="I85" i="1"/>
  <c r="I87" i="1"/>
  <c r="I89" i="1"/>
  <c r="D122" i="1" s="1"/>
  <c r="G122" i="1" s="1"/>
  <c r="I90" i="1"/>
  <c r="I91" i="1"/>
  <c r="I92" i="1"/>
  <c r="I93" i="1"/>
  <c r="I94" i="1"/>
  <c r="I96" i="1"/>
  <c r="E118" i="1"/>
  <c r="D119" i="1"/>
  <c r="B116" i="1"/>
  <c r="G114" i="1"/>
  <c r="B122" i="1"/>
  <c r="B121" i="1"/>
  <c r="B120" i="1"/>
  <c r="B117" i="1"/>
  <c r="E120" i="1"/>
  <c r="E122" i="1"/>
  <c r="D110" i="1"/>
  <c r="E110" i="1"/>
  <c r="G110" i="1"/>
  <c r="I8" i="28" l="1"/>
  <c r="J9" i="45"/>
  <c r="O27" i="34"/>
  <c r="P27" i="34" s="1"/>
  <c r="J10" i="45"/>
  <c r="R27" i="34"/>
  <c r="S27" i="34" s="1"/>
  <c r="J7" i="45"/>
  <c r="I27" i="34"/>
  <c r="J27" i="34" s="1"/>
  <c r="J11" i="45"/>
  <c r="U27" i="34"/>
  <c r="V27" i="34" s="1"/>
  <c r="I8" i="33"/>
  <c r="I8" i="22"/>
  <c r="J8" i="22" s="1"/>
  <c r="J8" i="45"/>
  <c r="L27" i="34"/>
  <c r="M27" i="34" s="1"/>
  <c r="J6" i="45"/>
  <c r="F27" i="34"/>
  <c r="G27" i="34" s="1"/>
  <c r="I25" i="34"/>
  <c r="J25" i="34" s="1"/>
  <c r="O22" i="34"/>
  <c r="P22" i="34" s="1"/>
  <c r="U22" i="34"/>
  <c r="V22" i="34" s="1"/>
  <c r="I10" i="19"/>
  <c r="J10" i="19" s="1"/>
  <c r="L18" i="34"/>
  <c r="J8" i="26"/>
  <c r="L21" i="34"/>
  <c r="M21" i="34" s="1"/>
  <c r="J8" i="33"/>
  <c r="F22" i="34"/>
  <c r="G22" i="34" s="1"/>
  <c r="I9" i="33"/>
  <c r="J9" i="33" s="1"/>
  <c r="I12" i="43"/>
  <c r="O25" i="34"/>
  <c r="P25" i="34" s="1"/>
  <c r="J7" i="37"/>
  <c r="I8" i="24"/>
  <c r="J8" i="24" s="1"/>
  <c r="I7" i="16"/>
  <c r="J7" i="16" s="1"/>
  <c r="I10" i="13"/>
  <c r="R11" i="34" s="1"/>
  <c r="S11" i="34" s="1"/>
  <c r="I7" i="26"/>
  <c r="I18" i="34" s="1"/>
  <c r="J18" i="34" s="1"/>
  <c r="U25" i="34"/>
  <c r="V25" i="34" s="1"/>
  <c r="R25" i="34"/>
  <c r="S25" i="34" s="1"/>
  <c r="I9" i="26"/>
  <c r="O18" i="34" s="1"/>
  <c r="P18" i="34" s="1"/>
  <c r="I6" i="26"/>
  <c r="J6" i="26" s="1"/>
  <c r="I7" i="22"/>
  <c r="I16" i="34" s="1"/>
  <c r="J16" i="34" s="1"/>
  <c r="I11" i="13"/>
  <c r="J11" i="13" s="1"/>
  <c r="I11" i="26"/>
  <c r="J11" i="26" s="1"/>
  <c r="J6" i="37"/>
  <c r="J6" i="41"/>
  <c r="I6" i="8"/>
  <c r="J6" i="8" s="1"/>
  <c r="I9" i="11"/>
  <c r="J9" i="11" s="1"/>
  <c r="I9" i="8"/>
  <c r="O12" i="34" s="1"/>
  <c r="P12" i="34" s="1"/>
  <c r="I9" i="19"/>
  <c r="O14" i="34" s="1"/>
  <c r="P14" i="34" s="1"/>
  <c r="I9" i="24"/>
  <c r="O17" i="34" s="1"/>
  <c r="P17" i="34" s="1"/>
  <c r="I12" i="39"/>
  <c r="J12" i="39" s="1"/>
  <c r="I14" i="39" s="1"/>
  <c r="I9" i="13"/>
  <c r="O11" i="34" s="1"/>
  <c r="P11" i="34" s="1"/>
  <c r="I12" i="41"/>
  <c r="J6" i="39"/>
  <c r="U23" i="34"/>
  <c r="V23" i="34" s="1"/>
  <c r="I12" i="37"/>
  <c r="J12" i="37" s="1"/>
  <c r="I14" i="37" s="1"/>
  <c r="I12" i="35"/>
  <c r="J12" i="35" s="1"/>
  <c r="I14" i="35" s="1"/>
  <c r="I22" i="34"/>
  <c r="J22" i="34" s="1"/>
  <c r="I11" i="33"/>
  <c r="J11" i="33" s="1"/>
  <c r="I10" i="33"/>
  <c r="J10" i="33" s="1"/>
  <c r="I7" i="33"/>
  <c r="J7" i="33" s="1"/>
  <c r="I6" i="33"/>
  <c r="F21" i="34" s="1"/>
  <c r="G21" i="34" s="1"/>
  <c r="I6" i="31"/>
  <c r="F20" i="34" s="1"/>
  <c r="G20" i="34" s="1"/>
  <c r="I11" i="28"/>
  <c r="U19" i="34" s="1"/>
  <c r="V19" i="34" s="1"/>
  <c r="I7" i="28"/>
  <c r="J7" i="28" s="1"/>
  <c r="I10" i="24"/>
  <c r="J10" i="24" s="1"/>
  <c r="I11" i="22"/>
  <c r="J11" i="22" s="1"/>
  <c r="I6" i="22"/>
  <c r="F16" i="34" s="1"/>
  <c r="G16" i="34" s="1"/>
  <c r="I10" i="20"/>
  <c r="J10" i="20" s="1"/>
  <c r="I11" i="20"/>
  <c r="J11" i="20" s="1"/>
  <c r="I6" i="20"/>
  <c r="F15" i="34" s="1"/>
  <c r="G15" i="34" s="1"/>
  <c r="I10" i="16"/>
  <c r="J10" i="16" s="1"/>
  <c r="I11" i="8"/>
  <c r="U12" i="34" s="1"/>
  <c r="V12" i="34" s="1"/>
  <c r="I7" i="8"/>
  <c r="I12" i="34" s="1"/>
  <c r="J12" i="34" s="1"/>
  <c r="I10" i="11"/>
  <c r="R10" i="34" s="1"/>
  <c r="S10" i="34" s="1"/>
  <c r="I9" i="9"/>
  <c r="J9" i="9" s="1"/>
  <c r="I8" i="9"/>
  <c r="J8" i="9" s="1"/>
  <c r="L20" i="34"/>
  <c r="M20" i="34" s="1"/>
  <c r="J8" i="31"/>
  <c r="L9" i="34"/>
  <c r="M9" i="34" s="1"/>
  <c r="R21" i="34"/>
  <c r="S21" i="34" s="1"/>
  <c r="G118" i="1"/>
  <c r="R13" i="34"/>
  <c r="S13" i="34" s="1"/>
  <c r="G121" i="1"/>
  <c r="L19" i="34"/>
  <c r="M19" i="34" s="1"/>
  <c r="J8" i="28"/>
  <c r="E116" i="1"/>
  <c r="G116" i="1" s="1"/>
  <c r="D117" i="1"/>
  <c r="G117" i="1" s="1"/>
  <c r="D121" i="1"/>
  <c r="E111" i="1"/>
  <c r="D112" i="1"/>
  <c r="BB17" i="11"/>
  <c r="BB17" i="19"/>
  <c r="BB18" i="24"/>
  <c r="BB17" i="28"/>
  <c r="BB18" i="9"/>
  <c r="I11" i="19"/>
  <c r="U14" i="34" s="1"/>
  <c r="V14" i="34" s="1"/>
  <c r="I6" i="19"/>
  <c r="F14" i="34" s="1"/>
  <c r="G14" i="34" s="1"/>
  <c r="I8" i="16"/>
  <c r="L13" i="34" s="1"/>
  <c r="M13" i="34" s="1"/>
  <c r="I10" i="8"/>
  <c r="R12" i="34" s="1"/>
  <c r="S12" i="34" s="1"/>
  <c r="I6" i="11"/>
  <c r="F10" i="34" s="1"/>
  <c r="G10" i="34" s="1"/>
  <c r="J6" i="43"/>
  <c r="I12" i="47"/>
  <c r="J12" i="47" s="1"/>
  <c r="I14" i="47" s="1"/>
  <c r="J10" i="43"/>
  <c r="J10" i="35"/>
  <c r="R22" i="34"/>
  <c r="S22" i="34" s="1"/>
  <c r="J10" i="39"/>
  <c r="R24" i="34"/>
  <c r="S24" i="34" s="1"/>
  <c r="J11" i="43"/>
  <c r="J8" i="35"/>
  <c r="L22" i="34"/>
  <c r="M22" i="34" s="1"/>
  <c r="J11" i="39"/>
  <c r="U24" i="34"/>
  <c r="V24" i="34" s="1"/>
  <c r="BB18" i="11"/>
  <c r="BB17" i="22"/>
  <c r="I10" i="26"/>
  <c r="R18" i="34" s="1"/>
  <c r="S18" i="34" s="1"/>
  <c r="I9" i="20"/>
  <c r="O15" i="34" s="1"/>
  <c r="P15" i="34" s="1"/>
  <c r="I7" i="13"/>
  <c r="I11" i="34" s="1"/>
  <c r="J11" i="34" s="1"/>
  <c r="I6" i="13"/>
  <c r="F11" i="34" s="1"/>
  <c r="G11" i="34" s="1"/>
  <c r="I10" i="9"/>
  <c r="J10" i="9" s="1"/>
  <c r="J10" i="37"/>
  <c r="R23" i="34"/>
  <c r="S23" i="34" s="1"/>
  <c r="J9" i="43"/>
  <c r="J9" i="39"/>
  <c r="O24" i="34"/>
  <c r="P24" i="34" s="1"/>
  <c r="D113" i="1"/>
  <c r="G113" i="1" s="1"/>
  <c r="I10" i="31"/>
  <c r="J10" i="31" s="1"/>
  <c r="I9" i="31"/>
  <c r="O20" i="34" s="1"/>
  <c r="I10" i="28"/>
  <c r="R19" i="34" s="1"/>
  <c r="S19" i="34" s="1"/>
  <c r="I8" i="8"/>
  <c r="E28" i="34"/>
  <c r="BB17" i="9"/>
  <c r="BB18" i="13"/>
  <c r="I6" i="28"/>
  <c r="I7" i="24"/>
  <c r="J7" i="24" s="1"/>
  <c r="I9" i="22"/>
  <c r="J9" i="22" s="1"/>
  <c r="I8" i="20"/>
  <c r="J8" i="20" s="1"/>
  <c r="I8" i="13"/>
  <c r="J8" i="13" s="1"/>
  <c r="I11" i="11"/>
  <c r="J11" i="11" s="1"/>
  <c r="I11" i="9"/>
  <c r="J11" i="9" s="1"/>
  <c r="I7" i="9"/>
  <c r="J7" i="9" s="1"/>
  <c r="I6" i="9"/>
  <c r="F9" i="34" s="1"/>
  <c r="G9" i="34" s="1"/>
  <c r="I12" i="45"/>
  <c r="J7" i="39"/>
  <c r="I24" i="34"/>
  <c r="J24" i="34" s="1"/>
  <c r="J9" i="37"/>
  <c r="O23" i="34"/>
  <c r="P23" i="34" s="1"/>
  <c r="T28" i="34"/>
  <c r="Q28" i="34"/>
  <c r="N28" i="34"/>
  <c r="K28" i="34"/>
  <c r="H28" i="34"/>
  <c r="W9" i="34"/>
  <c r="M18" i="34"/>
  <c r="W18" i="34"/>
  <c r="W17" i="34"/>
  <c r="W11" i="34"/>
  <c r="W10" i="34"/>
  <c r="W21" i="34"/>
  <c r="W20" i="34"/>
  <c r="W13" i="34"/>
  <c r="W12" i="34"/>
  <c r="W14" i="34"/>
  <c r="W16" i="34"/>
  <c r="W19" i="34"/>
  <c r="W15" i="34"/>
  <c r="M14" i="34"/>
  <c r="I11" i="31"/>
  <c r="J11" i="31" s="1"/>
  <c r="I7" i="31"/>
  <c r="I20" i="34" s="1"/>
  <c r="J20" i="34" s="1"/>
  <c r="I9" i="28"/>
  <c r="J9" i="28" s="1"/>
  <c r="I11" i="24"/>
  <c r="U17" i="34" s="1"/>
  <c r="V17" i="34" s="1"/>
  <c r="I6" i="24"/>
  <c r="J6" i="24" s="1"/>
  <c r="L15" i="34"/>
  <c r="M15" i="34" s="1"/>
  <c r="I7" i="20"/>
  <c r="I15" i="34" s="1"/>
  <c r="J15" i="34" s="1"/>
  <c r="I7" i="19"/>
  <c r="I14" i="34" s="1"/>
  <c r="J14" i="34" s="1"/>
  <c r="I11" i="16"/>
  <c r="U13" i="34" s="1"/>
  <c r="V13" i="34" s="1"/>
  <c r="I9" i="16"/>
  <c r="J9" i="16" s="1"/>
  <c r="L12" i="34"/>
  <c r="M12" i="34" s="1"/>
  <c r="J8" i="8"/>
  <c r="I7" i="11"/>
  <c r="I10" i="34" s="1"/>
  <c r="J10" i="34" s="1"/>
  <c r="BB17" i="16"/>
  <c r="BB18" i="16"/>
  <c r="I6" i="16"/>
  <c r="F13" i="34" s="1"/>
  <c r="G13" i="34" s="1"/>
  <c r="J8" i="11"/>
  <c r="L10" i="34"/>
  <c r="M10" i="34" s="1"/>
  <c r="R16" i="34"/>
  <c r="S16" i="34" s="1"/>
  <c r="J10" i="22"/>
  <c r="J8" i="19"/>
  <c r="U16" i="34" l="1"/>
  <c r="V16" i="34" s="1"/>
  <c r="L16" i="34"/>
  <c r="M16" i="34" s="1"/>
  <c r="J10" i="8"/>
  <c r="R9" i="34"/>
  <c r="L11" i="34"/>
  <c r="J12" i="43"/>
  <c r="I14" i="43" s="1"/>
  <c r="X26" i="34"/>
  <c r="Y26" i="34" s="1"/>
  <c r="I13" i="34"/>
  <c r="J13" i="34" s="1"/>
  <c r="J12" i="45"/>
  <c r="I14" i="45" s="1"/>
  <c r="X27" i="34"/>
  <c r="O21" i="34"/>
  <c r="P21" i="34" s="1"/>
  <c r="U21" i="34"/>
  <c r="V21" i="34" s="1"/>
  <c r="J9" i="19"/>
  <c r="J7" i="22"/>
  <c r="R14" i="34"/>
  <c r="S14" i="34" s="1"/>
  <c r="U18" i="34"/>
  <c r="V18" i="34" s="1"/>
  <c r="J9" i="13"/>
  <c r="J9" i="20"/>
  <c r="J8" i="16"/>
  <c r="J7" i="26"/>
  <c r="R17" i="34"/>
  <c r="S17" i="34" s="1"/>
  <c r="L17" i="34"/>
  <c r="M17" i="34" s="1"/>
  <c r="I9" i="34"/>
  <c r="J9" i="34" s="1"/>
  <c r="J10" i="13"/>
  <c r="F12" i="34"/>
  <c r="G12" i="34" s="1"/>
  <c r="J12" i="41"/>
  <c r="I14" i="41" s="1"/>
  <c r="V26" i="34"/>
  <c r="J9" i="26"/>
  <c r="I17" i="34"/>
  <c r="J17" i="34" s="1"/>
  <c r="J9" i="8"/>
  <c r="J7" i="8"/>
  <c r="O10" i="34"/>
  <c r="P10" i="34" s="1"/>
  <c r="I19" i="34"/>
  <c r="J19" i="34" s="1"/>
  <c r="F18" i="34"/>
  <c r="G18" i="34" s="1"/>
  <c r="I12" i="26"/>
  <c r="J12" i="26" s="1"/>
  <c r="I14" i="26" s="1"/>
  <c r="J10" i="26"/>
  <c r="J9" i="24"/>
  <c r="O9" i="34"/>
  <c r="P9" i="34" s="1"/>
  <c r="R15" i="34"/>
  <c r="S15" i="34" s="1"/>
  <c r="I12" i="8"/>
  <c r="J12" i="8" s="1"/>
  <c r="I14" i="8" s="1"/>
  <c r="U11" i="34"/>
  <c r="V11" i="34" s="1"/>
  <c r="J6" i="33"/>
  <c r="J9" i="31"/>
  <c r="U10" i="34"/>
  <c r="V10" i="34" s="1"/>
  <c r="J10" i="11"/>
  <c r="X24" i="34"/>
  <c r="Y24" i="34" s="1"/>
  <c r="J11" i="19"/>
  <c r="J11" i="8"/>
  <c r="U15" i="34"/>
  <c r="V15" i="34" s="1"/>
  <c r="O16" i="34"/>
  <c r="P16" i="34" s="1"/>
  <c r="J10" i="28"/>
  <c r="J6" i="31"/>
  <c r="X23" i="34"/>
  <c r="Y23" i="34" s="1"/>
  <c r="J7" i="13"/>
  <c r="J6" i="13"/>
  <c r="U9" i="34"/>
  <c r="V9" i="34" s="1"/>
  <c r="J6" i="9"/>
  <c r="X25" i="34"/>
  <c r="Y25" i="34" s="1"/>
  <c r="X22" i="34"/>
  <c r="Y22" i="34" s="1"/>
  <c r="I12" i="33"/>
  <c r="J12" i="33" s="1"/>
  <c r="I14" i="33" s="1"/>
  <c r="I21" i="34"/>
  <c r="J21" i="34" s="1"/>
  <c r="R20" i="34"/>
  <c r="S20" i="34" s="1"/>
  <c r="J7" i="31"/>
  <c r="I12" i="31"/>
  <c r="J12" i="31" s="1"/>
  <c r="I14" i="31" s="1"/>
  <c r="J11" i="28"/>
  <c r="I12" i="28"/>
  <c r="J12" i="28" s="1"/>
  <c r="I14" i="28" s="1"/>
  <c r="J6" i="28"/>
  <c r="F19" i="34"/>
  <c r="G19" i="34" s="1"/>
  <c r="I12" i="22"/>
  <c r="J12" i="22" s="1"/>
  <c r="I14" i="22" s="1"/>
  <c r="J6" i="22"/>
  <c r="J6" i="20"/>
  <c r="J7" i="20"/>
  <c r="J7" i="19"/>
  <c r="J6" i="19"/>
  <c r="I12" i="19"/>
  <c r="J12" i="19" s="1"/>
  <c r="I14" i="19" s="1"/>
  <c r="J11" i="16"/>
  <c r="I12" i="16"/>
  <c r="J12" i="16" s="1"/>
  <c r="I14" i="16" s="1"/>
  <c r="I12" i="13"/>
  <c r="J12" i="13" s="1"/>
  <c r="I14" i="13" s="1"/>
  <c r="J6" i="11"/>
  <c r="I12" i="9"/>
  <c r="J12" i="9" s="1"/>
  <c r="I14" i="9" s="1"/>
  <c r="E123" i="1"/>
  <c r="J6" i="16"/>
  <c r="I12" i="20"/>
  <c r="J12" i="20" s="1"/>
  <c r="I14" i="20" s="1"/>
  <c r="O19" i="34"/>
  <c r="P19" i="34" s="1"/>
  <c r="W28" i="34"/>
  <c r="G112" i="1"/>
  <c r="E115" i="1"/>
  <c r="G111" i="1"/>
  <c r="D115" i="1"/>
  <c r="D123" i="1" s="1"/>
  <c r="C8" i="1" s="1"/>
  <c r="L28" i="34"/>
  <c r="M28" i="34" s="1"/>
  <c r="U20" i="34"/>
  <c r="V20" i="34" s="1"/>
  <c r="I12" i="24"/>
  <c r="J12" i="24" s="1"/>
  <c r="I14" i="24" s="1"/>
  <c r="F17" i="34"/>
  <c r="G17" i="34" s="1"/>
  <c r="J11" i="24"/>
  <c r="O13" i="34"/>
  <c r="I12" i="11"/>
  <c r="J12" i="11" s="1"/>
  <c r="I14" i="11" s="1"/>
  <c r="J7" i="11"/>
  <c r="P20" i="34"/>
  <c r="M11" i="34"/>
  <c r="S9" i="34"/>
  <c r="Y27" i="34" l="1"/>
  <c r="X14" i="34"/>
  <c r="Y14" i="34" s="1"/>
  <c r="X12" i="34"/>
  <c r="Y12" i="34" s="1"/>
  <c r="R28" i="34"/>
  <c r="S28" i="34" s="1"/>
  <c r="X11" i="34"/>
  <c r="Y11" i="34" s="1"/>
  <c r="X10" i="34"/>
  <c r="Y10" i="34" s="1"/>
  <c r="X18" i="34"/>
  <c r="Y18" i="34" s="1"/>
  <c r="X9" i="34"/>
  <c r="Y9" i="34" s="1"/>
  <c r="X21" i="34"/>
  <c r="Y21" i="34" s="1"/>
  <c r="X16" i="34"/>
  <c r="Y16" i="34" s="1"/>
  <c r="X15" i="34"/>
  <c r="Y15" i="34" s="1"/>
  <c r="I28" i="34"/>
  <c r="J28" i="34" s="1"/>
  <c r="X19" i="34"/>
  <c r="Y19" i="34" s="1"/>
  <c r="G115" i="1"/>
  <c r="U28" i="34"/>
  <c r="V28" i="34" s="1"/>
  <c r="E8" i="1"/>
  <c r="G123" i="1"/>
  <c r="H8" i="1" s="1"/>
  <c r="X13" i="34"/>
  <c r="Y13" i="34" s="1"/>
  <c r="O28" i="34"/>
  <c r="P28" i="34" s="1"/>
  <c r="F28" i="34"/>
  <c r="G28" i="34" s="1"/>
  <c r="X20" i="34"/>
  <c r="Y20" i="34" s="1"/>
  <c r="P13" i="34"/>
  <c r="X17" i="34"/>
  <c r="Y17" i="34" s="1"/>
  <c r="X28" i="34" l="1"/>
  <c r="Y28" i="34" s="1"/>
</calcChain>
</file>

<file path=xl/sharedStrings.xml><?xml version="1.0" encoding="utf-8"?>
<sst xmlns="http://schemas.openxmlformats.org/spreadsheetml/2006/main" count="3773" uniqueCount="516">
  <si>
    <t>Ubicación</t>
  </si>
  <si>
    <t>Calidad del producto</t>
  </si>
  <si>
    <t>Total %</t>
  </si>
  <si>
    <t>Puntos disponibles</t>
  </si>
  <si>
    <t>Puntos otorgados</t>
  </si>
  <si>
    <t>Porcentaje</t>
  </si>
  <si>
    <t>Agujas:</t>
  </si>
  <si>
    <t>Porcentaje:</t>
  </si>
  <si>
    <t>Puntos posibles:</t>
  </si>
  <si>
    <t>Comentarios</t>
  </si>
  <si>
    <t>Fecha del formulario</t>
  </si>
  <si>
    <t>Riesgos inminentes para la salud</t>
  </si>
  <si>
    <t>Seguridad alimentaria - Sistema de saneamiento</t>
  </si>
  <si>
    <t>¿El área del comedor está limpia, mantenida y el ambiente cumple con los requisitos de BR?</t>
  </si>
  <si>
    <t>¿Los utensilios y recipientes para alimentos están limpios, en buenas condiciones y cumplen con los requisitos de BR?</t>
  </si>
  <si>
    <t>¿El área de almacenamiento en seco está limpia, en buenas condiciones y cumple con los requisitos de BR?</t>
  </si>
  <si>
    <t>¿Los baños públicos están limpios y en buenas condiciones?</t>
  </si>
  <si>
    <t>¿Los baños de los empleados están limpios y en buenas condiciones?</t>
  </si>
  <si>
    <t>¿Las básculas, los dispensadores y el abrelatas están limpios, en buenas condiciones y cumplen con los requisitos de BR?</t>
  </si>
  <si>
    <t>¿La tienda ofrece una muestra de cuchara rosa a todos los huéspedes?</t>
  </si>
  <si>
    <t>¿El taller cuenta con todas las ayudas de trabajo y guías instructivas actualizadas y están ubicadas en el lugar apropiado dentro del círculo de trabajo?</t>
  </si>
  <si>
    <t>¿Los calentadores y el riel de jarabe están limpios, a la temperatura correcta y en buen estado?</t>
  </si>
  <si>
    <t>¿El dispensador de nueces o cerezas y el centro de cobertura de helado están limpios y cumplen con los requisitos de BR?</t>
  </si>
  <si>
    <t>¿El área de servicio y el equipo (máquina para hacer conos de waffle, vitrina, mandril para conos, pastel, azúcar, conos de waffle y soportes para cajas de conos) están limpios, en buenas condiciones y cumplen con los requisitos de BR?</t>
  </si>
  <si>
    <t>¿Los productos aprobados dentro del refrigerador se almacenan correctamente según las normas especificadas por BR?</t>
  </si>
  <si>
    <t>¿El POS está aprobado, limpio y en buenas condiciones?</t>
  </si>
  <si>
    <t>¿Los gabinetes de inmersión están limpios y en buenas condiciones y cumplen con los requisitos de BR?</t>
  </si>
  <si>
    <t>¿La batidora de batidos, la batidora a 31 grados bajo cero, la máquina de helado suave, las licuadoras y los silenciadores están limpios, en buenas condiciones y cumplen con los requisitos de BR?</t>
  </si>
  <si>
    <t>¿Los materiales y equipos para la elaboración y preparación de postres y pasteles están limpios y en buen estado?</t>
  </si>
  <si>
    <t>¿La máquina de hielo está limpia, en buenas condiciones y cumple con los requisitos de BR?</t>
  </si>
  <si>
    <t>Seguridad alimentaria - Sistema de prácticas e higiene de los empleados</t>
  </si>
  <si>
    <t>Seguridad alimentaria - Sistema de buenas prácticas de venta minorista</t>
  </si>
  <si>
    <t>Servicios para huéspedes</t>
  </si>
  <si>
    <t>Capacitación</t>
  </si>
  <si>
    <t>Comercialización</t>
  </si>
  <si>
    <t>Normas de equipamiento</t>
  </si>
  <si>
    <t>¿Se están cumpliendo los estándares de pasteles requeridos por BR?</t>
  </si>
  <si>
    <t>¿El Cake Book/Cake Tablet está actualizado y en buenas condiciones?</t>
  </si>
  <si>
    <t>Hay agua corriente caliente y fría disponible.</t>
  </si>
  <si>
    <t xml:space="preserve"> Gerente y miembros de la tripulación libres de enfermedades y síntomas.</t>
  </si>
  <si>
    <t xml:space="preserve"> Libre de productos adulterados/contaminados</t>
  </si>
  <si>
    <t xml:space="preserve"> Libre de atascos de alcantarillado</t>
  </si>
  <si>
    <t xml:space="preserve"> Libre de plagas que provoquen contaminación de superficies de contacto o alimentos.</t>
  </si>
  <si>
    <t xml:space="preserve"> El restaurante tiene desinfectante</t>
  </si>
  <si>
    <t xml:space="preserve"> El fregadero de dos o tres compartimentos está instalado y se utiliza correctamente</t>
  </si>
  <si>
    <t xml:space="preserve"> Los refrigeradores, congeladores y cámaras frigoríficas están limpios y sin acumulación de hielo.</t>
  </si>
  <si>
    <t xml:space="preserve"> Restaurante libre de plagas y evidencia de plagas.</t>
  </si>
  <si>
    <t>Las soluciones desinfectantes están limpias, tienen la concentración adecuada y hay tiras de prueba disponibles.</t>
  </si>
  <si>
    <t>¿Está limpio y en buen estado el exterior? Evalúe la limpieza y el estado de la entrada, las puertas, las ventanas, la señalización y la iluminación a través de los ojos del huésped.</t>
  </si>
  <si>
    <t>¿El área de fregado y lavado de la trastienda de almacenamiento en seco está limpia, en buenas condiciones y cumple con los requisitos de BR? ¿El trapeador está ubicado de manera que permita un secado adecuado?</t>
  </si>
  <si>
    <t>¿El restaurante cuenta con el personal adecuado para atender el volumen de negocio?</t>
  </si>
  <si>
    <t>¿El uniforme que usa la tripulación cumple con los estándares de la marca?</t>
  </si>
  <si>
    <t>¿Los miembros del equipo están atentos e interactúan adecuadamente con los huéspedes?</t>
  </si>
  <si>
    <t>¿Está la tripulación familiarizada con todas las promociones u ofertas especiales actuales?</t>
  </si>
  <si>
    <t>Cuando se le pregunta, ¿sabe la tripulación dónde encontrar la información nutricional más actualizada para los huéspedes?</t>
  </si>
  <si>
    <t>¿Todos los miembros de la tripulación han recibido formación aprobada por BR y han obtenido una puntuación satisfactoria?</t>
  </si>
  <si>
    <t>¿Todos los productos están elaborados según los estándares y recetas de BR?</t>
  </si>
  <si>
    <t>¿Los materiales publicitarios en el restaurante están actualizados, en buen estado, aprobados y cumplen con el planograma actual?</t>
  </si>
  <si>
    <t>¿Todos los productos de oferta por tiempo limitado (LTO) se ofrecen y están disponibles para ser comprados?</t>
  </si>
  <si>
    <t>¿El restaurante cumple con los estándares de comercialización de la Guía de Excelencia en Postres?</t>
  </si>
  <si>
    <t>Experiencia en restaurante</t>
  </si>
  <si>
    <t>¿El restaurante participa en el Programa de Conos de Waffle Frescos?</t>
  </si>
  <si>
    <t>¿Eres capaz de detectar el aroma de los conos de galleta recién horneados en el restaurante?</t>
  </si>
  <si>
    <t>¿El restaurante participa en el programa de música?</t>
  </si>
  <si>
    <t>¿El restaurante acepta tarjetas de crédito?</t>
  </si>
  <si>
    <t>¿La tripulación sigue un proceso documentado para abrir y cerrar su restaurante?</t>
  </si>
  <si>
    <t>¿Están los contactos de emergencia, números de teléfono, señales, carteles y materiales requeridos publicados en un área designada?</t>
  </si>
  <si>
    <t>Riesgos inminentes para la salud %</t>
  </si>
  <si>
    <t>RSI 1</t>
  </si>
  <si>
    <t>RSI 2</t>
  </si>
  <si>
    <t>RSI 3</t>
  </si>
  <si>
    <t>RSI 4</t>
  </si>
  <si>
    <t>RSI 5</t>
  </si>
  <si>
    <t>RSI 6</t>
  </si>
  <si>
    <t>RSI 7</t>
  </si>
  <si>
    <t>RSI 8</t>
  </si>
  <si>
    <t>RSI 9</t>
  </si>
  <si>
    <t>FS-SS 1</t>
  </si>
  <si>
    <t>FS-SS 2</t>
  </si>
  <si>
    <t>FS-SS 3</t>
  </si>
  <si>
    <t>FS-SS 4</t>
  </si>
  <si>
    <t>FS-GRP-1</t>
  </si>
  <si>
    <t>FS-GRP2</t>
  </si>
  <si>
    <t>FS-GRP3</t>
  </si>
  <si>
    <t>FS-GRP 4</t>
  </si>
  <si>
    <t>FS-GRP 7</t>
  </si>
  <si>
    <t>FS-GRP8</t>
  </si>
  <si>
    <t>FS-EH1</t>
  </si>
  <si>
    <t>FS-EH2</t>
  </si>
  <si>
    <t>FS-EH3</t>
  </si>
  <si>
    <t>FS-TT1</t>
  </si>
  <si>
    <t>FS-TT2</t>
  </si>
  <si>
    <t>Limpieza del restaurante</t>
  </si>
  <si>
    <t>RC1</t>
  </si>
  <si>
    <t>RC2</t>
  </si>
  <si>
    <t>RC3</t>
  </si>
  <si>
    <t>RC4</t>
  </si>
  <si>
    <t>RC5</t>
  </si>
  <si>
    <t>RC6</t>
  </si>
  <si>
    <t>RC7</t>
  </si>
  <si>
    <t>RC8</t>
  </si>
  <si>
    <t>RC9</t>
  </si>
  <si>
    <t>GS1</t>
  </si>
  <si>
    <t>GS2</t>
  </si>
  <si>
    <t>GS3</t>
  </si>
  <si>
    <t>GS4</t>
  </si>
  <si>
    <t>GS 5</t>
  </si>
  <si>
    <t>GS6</t>
  </si>
  <si>
    <t>GS7</t>
  </si>
  <si>
    <t>RE 1</t>
  </si>
  <si>
    <t>RE 2</t>
  </si>
  <si>
    <t>RE 3</t>
  </si>
  <si>
    <t>RE 4</t>
  </si>
  <si>
    <t>TR1 (Traducción al Español)</t>
  </si>
  <si>
    <t>Pregunta 1</t>
  </si>
  <si>
    <t>Pregunta 2</t>
  </si>
  <si>
    <t>Pregunta 3</t>
  </si>
  <si>
    <t>Pregunta 4</t>
  </si>
  <si>
    <t>Pregunta 5</t>
  </si>
  <si>
    <t>Pregunta 6</t>
  </si>
  <si>
    <t>Pregunta 7</t>
  </si>
  <si>
    <t>MD1 (Doctor en Medicina)</t>
  </si>
  <si>
    <t>MD2 (Doctor en Medicina)</t>
  </si>
  <si>
    <t>MD3 (Doctor en Medicina)</t>
  </si>
  <si>
    <t>MD4 (Doctor en Medicina)</t>
  </si>
  <si>
    <t>ES 1</t>
  </si>
  <si>
    <t>ES 2</t>
  </si>
  <si>
    <t>ES 3</t>
  </si>
  <si>
    <t>ES 4</t>
  </si>
  <si>
    <t>ES 5</t>
  </si>
  <si>
    <t>ES 6</t>
  </si>
  <si>
    <t>Evaluador</t>
  </si>
  <si>
    <t>Sección B - Normas locales</t>
  </si>
  <si>
    <t>LS1</t>
  </si>
  <si>
    <t>LS2</t>
  </si>
  <si>
    <t>LS 3</t>
  </si>
  <si>
    <t>LS 4</t>
  </si>
  <si>
    <t>LS 5</t>
  </si>
  <si>
    <t>LS6</t>
  </si>
  <si>
    <t>LS 7</t>
  </si>
  <si>
    <t xml:space="preserve"> Las superficies de los equipos y utensilios se lavan, enjuagan, desinfectan y secan al aire adecuadamente.</t>
  </si>
  <si>
    <t xml:space="preserve"> El gerente y los miembros de la tripulación comprenden el estándar de Dunkin' Brands para la salud de los empleados</t>
  </si>
  <si>
    <t xml:space="preserve"> Todos los envases de alimentos se utilizan de forma adecuada.</t>
  </si>
  <si>
    <t>Libre de inundaciones</t>
  </si>
  <si>
    <t>Se proporcionan lavabos para lavarse las manos.</t>
  </si>
  <si>
    <t>No hay contacto de las manos desnudas con alimentos listos para comer y hay guantes/barreras de un solo uso disponibles.</t>
  </si>
  <si>
    <t>ES 8</t>
  </si>
  <si>
    <t>Al brindar servicio a un huésped, ¿la tripulación está enfocada en él?</t>
  </si>
  <si>
    <t>FS-DS 1</t>
  </si>
  <si>
    <t>TR4</t>
  </si>
  <si>
    <t>FS-DS 2</t>
  </si>
  <si>
    <t>FS-DS 3</t>
  </si>
  <si>
    <t>FS-DS 4</t>
  </si>
  <si>
    <t>Seguridad alimentaria - Sistema de documentación</t>
  </si>
  <si>
    <t>Sistema de tiempo y temperatura</t>
  </si>
  <si>
    <t>Sistema de higiene y práctica profesional</t>
  </si>
  <si>
    <t>Sistema de documentación</t>
  </si>
  <si>
    <t>Sistema de Buenas Prácticas de Comercio Minorista</t>
  </si>
  <si>
    <t>Sistema de Saneamiento</t>
  </si>
  <si>
    <t>Totales de seguridad alimentaria</t>
  </si>
  <si>
    <t>Tiempo</t>
  </si>
  <si>
    <t>Persona responsable</t>
  </si>
  <si>
    <t>RE 5</t>
  </si>
  <si>
    <t>¿Están disponibles todos los elementos del menú?</t>
  </si>
  <si>
    <t xml:space="preserve"> Los documentos recibidos están completos, precisos y con acciones correctivas.</t>
  </si>
  <si>
    <t>MD5 (Doctor en Medicina)</t>
  </si>
  <si>
    <t>RC10</t>
  </si>
  <si>
    <t>¿Los contenedores de basura interiores están limpios y mantenidos adecuadamente?</t>
  </si>
  <si>
    <t>¿El área de servicio y todas las áreas de la barra trasera están limpias, en buenas condiciones, cumpliendo con los requisitos de BR y se mantienen adecuadamente?</t>
  </si>
  <si>
    <t>TR2</t>
  </si>
  <si>
    <t>TR3</t>
  </si>
  <si>
    <t>ES 7</t>
  </si>
  <si>
    <t>FS-SS 5</t>
  </si>
  <si>
    <t>Conde de los Núms.</t>
  </si>
  <si>
    <t>Sí</t>
  </si>
  <si>
    <t>Los dispositivos de control de plagas se utilizan correctamente y solo los aplica un operador de control de plagas autorizado.</t>
  </si>
  <si>
    <t>Dentro del gabinete de inmersión, ¿está disponible el FOM, hay productos correctos en stock y se están siguiendo los requisitos correctos de calidad del producto BR?</t>
  </si>
  <si>
    <t>¿El congelador vertical, la exhibición de postres, los congeladores de almacenamiento y todos los refrigeradores están limpios, en buenas condiciones y cumplen con los requisitos de BR?</t>
  </si>
  <si>
    <t>¿Están todas las palas y cucharones aprobados limpios y en buenas condiciones?</t>
  </si>
  <si>
    <t xml:space="preserve"> Se utilizan productos químicos aprobados, etiquetados y almacenados adecuadamente.</t>
  </si>
  <si>
    <t xml:space="preserve"> Todos los alimentos están dentro del código de fecha y etiquetados adecuadamente.</t>
  </si>
  <si>
    <t>¿Se utilizan de manera uniforme los 3 métodos de recogida: en "S", semicírculo y en línea recta, y se nivelan y raspan las tinas correctamente?</t>
  </si>
  <si>
    <t xml:space="preserve"> Las instalaciones en la parte trasera de la casa están limpias y mantenidas.</t>
  </si>
  <si>
    <t xml:space="preserve"> Hay instalaciones para lavarse las manos y se siguen prácticas de higiene.</t>
  </si>
  <si>
    <t>Seguridad alimentaria: sistema de control de tiempo y temperatura</t>
  </si>
  <si>
    <t>El termómetro termopar con sonda para alimentos aprobado está en uso, es preciso y está desinfectado adecuadamente.</t>
  </si>
  <si>
    <t xml:space="preserve"> Los alimentos y sus envases están protegidos de la contaminación y del contacto cruzado con alérgenos.</t>
  </si>
  <si>
    <t xml:space="preserve"> Todos los productos alimenticios están aprobados y provienen de una fuente aprobada.</t>
  </si>
  <si>
    <t xml:space="preserve"> La sección de Seguridad Alimentaria de los ROR está completa, es precisa y incluye acciones correctivas.</t>
  </si>
  <si>
    <t xml:space="preserve"> Los documentos de temperatura de mantenimiento en frío están completos, son precisos y incluyen acciones correctivas.</t>
  </si>
  <si>
    <t>Existe prueba de la documentación y los recursos de seguridad alimentaria requeridos (es decir, capacitación en comunicación de riesgos y MSDS/SDS, certificaciones de seguridad alimentaria, etc., (según lo exija la ley local)</t>
  </si>
  <si>
    <t xml:space="preserve"> Los alimentos refrigerados se mantienen a una temperatura de (35˚F a &lt;41˚F) / (&gt;2˚C a &lt;5˚C)</t>
  </si>
  <si>
    <t xml:space="preserve"> Los alimentos controlados por tiempo y temperatura para seguridad (TCS) se mantienen a la temperatura adecuada y se documentan cada cuatro horas.</t>
  </si>
  <si>
    <t>No</t>
  </si>
  <si>
    <t>N / A</t>
  </si>
  <si>
    <t>Respuesta</t>
  </si>
  <si>
    <t>Sistemas de seguridad alimentaria en el comercio minorista</t>
  </si>
  <si>
    <t>Agujas</t>
  </si>
  <si>
    <t>Categoría</t>
  </si>
  <si>
    <t>Salud e higiene de los empleados</t>
  </si>
  <si>
    <t>Hora y temperatura</t>
  </si>
  <si>
    <t/>
  </si>
  <si>
    <t>Fecha (¿Hecho?)</t>
  </si>
  <si>
    <t>Fecha</t>
  </si>
  <si>
    <t>OBJETIVO 1</t>
  </si>
  <si>
    <t>OBJETIVO 2</t>
  </si>
  <si>
    <t>OBJETIVO 3</t>
  </si>
  <si>
    <t>META:</t>
  </si>
  <si>
    <t>Nombre y ubicación de la tienda:</t>
  </si>
  <si>
    <t>IHR.1 Hay agua corriente caliente y fría disponible NOTA: Citar bajo pregunta GRP.3</t>
  </si>
  <si>
    <t>RSI.2 El gerente y los miembros del equipo están libres de enfermedades y síntomas NOTA: Citar bajo la pregunta GRP.3</t>
  </si>
  <si>
    <t>RSI.3 Libre de productos adulterados/contaminados NOTA: Citar bajo pregunta GRP.3</t>
  </si>
  <si>
    <t>IHR.4 Libre de inundaciones/respaldo de alcantarillado NOTA: Citar bajo pregunta GRP.3</t>
  </si>
  <si>
    <t>IHR.5 Libre de infestaciones de plagas que provoquen contaminación de alimentos y superficies en contacto. NOTA: Citar bajo la pregunta PM.1</t>
  </si>
  <si>
    <t>IHR.6 Restaurante cuenta con sanitizante NOTA: Citar bajo pregunta GRP.3</t>
  </si>
  <si>
    <t>IHR.7 Se proporcionan lavabos para lavarse las manos NOTA: Citar bajo pregunta GRP.3</t>
  </si>
  <si>
    <t>CS.3 (Principal) Todos los productos químicos están aprobados, etiquetados adecuadamente y almacenados correctamente.</t>
  </si>
  <si>
    <t>CS.4 (Menor) Locales exteriores e interiores (parte trasera de la casa) Las superficies que no entran en contacto con alimentos están limpias y se mantienen</t>
  </si>
  <si>
    <t>CS.5 (Menor) Todos los fregaderos y lavavajillas están instalados correctamente y se utilizan adecuadamente.</t>
  </si>
  <si>
    <t>CS.2 (Principal) El desinfectante se encuentra en la concentración adecuada en todos los lavabos, baldes, tazas y lavadoras de vajilla a baja temperatura.</t>
  </si>
  <si>
    <t>CS.6 (Crítico) Los equipos en uso y las mesas de preparación se limpian y desinfectan con la frecuencia adecuada y se mantienen</t>
  </si>
  <si>
    <t>CS.7 (Crítico) Los utensilios en uso y los artículos pequeños se limpian y desinfectan con la frecuencia adecuada y se mantienen</t>
  </si>
  <si>
    <t>EH.1 (Menor) La persona a cargo comprende los estándares de marca para enfermedades y síntomas notificables y los miembros del equipo saben qué informar.</t>
  </si>
  <si>
    <t>EH.2 (Mayor) Los lavabos para lavarse las manos están completamente abastecidos y los miembros del equipo se lavan las manos correctamente.</t>
  </si>
  <si>
    <t>EH.3 (Mayor) Los miembros del equipo están siguiendo prácticas de higiene.</t>
  </si>
  <si>
    <t>EH.4 (Crítico) Los miembros del equipo usan guantes correctamente y evitan el contacto con las manos desnudas.</t>
  </si>
  <si>
    <t>TT.2 (Principal) Control de tiempo y temperatura para seguridad (TCS) Los alimentos se manipulan adecuadamente</t>
  </si>
  <si>
    <t>TT.5 (Principal) Los termómetros están calibrados adecuadamente y en uso.</t>
  </si>
  <si>
    <r>
      <rPr>
        <sz val="16"/>
        <rFont val="Calibri"/>
        <family val="2"/>
      </rPr>
      <t xml:space="preserve"> TT.3 (Crítico) Los alimentos se cocinan a la temperatura correcta.</t>
    </r>
    <r>
      <rPr>
        <i/>
        <sz val="16"/>
        <rFont val="Calibri"/>
        <family val="2"/>
      </rPr>
      <t>NOTA: Si la comida no se cocina en este lugar, marque con un círculo los puntos obtenidos como 7</t>
    </r>
  </si>
  <si>
    <t>GRP.1 (Mayor) Los alimentos y envases se almacenan de manera que estén protegidos y se cumplen todos los requisitos de gestión de alérgenos.</t>
  </si>
  <si>
    <t>GRP.5 (Menor) El embalaje se utiliza de forma aprobada</t>
  </si>
  <si>
    <t>PM.3 (Menor) Toda la documentación requerida sobre plagas está disponible (licencia, informes, etc.)</t>
  </si>
  <si>
    <t>DOC.1 (Menor) Los documentos de temperatura de mantenimiento en frío (incluidos los registros de enfriamiento y descongelación) están completos, son precisos y incluyen acciones correctivas.</t>
  </si>
  <si>
    <r>
      <rPr>
        <sz val="16"/>
        <rFont val="Calibri"/>
        <family val="2"/>
      </rPr>
      <t xml:space="preserve"> DOC.3 (Menor) Los documentos de temperatura de mantenimiento en caliente están completos, son precisos y incluyen acciones correctivas.</t>
    </r>
    <r>
      <rPr>
        <i/>
        <sz val="16"/>
        <rFont val="Calibri"/>
        <family val="2"/>
      </rPr>
      <t>NOTA: Si no se mantiene caliente en esta ubicación, marque con un círculo los puntos obtenidos como 1</t>
    </r>
  </si>
  <si>
    <t>DOC.5 (Menor) La documentación y los recursos adicionales requeridos en materia de seguridad alimentaria están presentes y son accesibles según sea necesario.</t>
  </si>
  <si>
    <t>GRP.4 (Menor) Todos los alimentos están aprobados, dentro del código de fecha y etiquetados correctamente.</t>
  </si>
  <si>
    <t>GRP.3 (Crítico) Se han establecido normas de prevención de la contaminación y se siguen adecuadamente las prácticas para prevenir la contaminación cruzada.</t>
  </si>
  <si>
    <t>GRP.2 (Mayor) Las superficies en contacto con alimentos están protegidas de la contaminación y se manipulan adecuadamente.</t>
  </si>
  <si>
    <t>PM.1 (Crítico) El restaurante está libre de evidencia de plagas y está recibiendo servicio de control de plagas.</t>
  </si>
  <si>
    <t>PM.2 (Mayor) Todo el equipo de control de plagas requerido está presente y el servicio de control de plagas se realiza al menos una vez al mes.</t>
  </si>
  <si>
    <t>DOC.4 (Menor) Los documentos recibidos están completos, son precisos y tienen acciones correctivas.</t>
  </si>
  <si>
    <t>Evaluación de seguridad alimentaria One Inspire</t>
  </si>
  <si>
    <t>Manejo de plagas</t>
  </si>
  <si>
    <t>Puntuación: Valores en puntos</t>
  </si>
  <si>
    <t>Riesgo bajo 90% o más</t>
  </si>
  <si>
    <t>Riesgo moderado 71% – 89%</t>
  </si>
  <si>
    <t>El restaurante cumple con la mayoría de los estándares de seguridad alimentaria. Las acciones correctivas para todos los hallazgos deben tomarse dentro de los 5 días posteriores a la recepción del informe de evaluación final. Realice un seguimiento con el equipo del restaurante para asegurarse de que se corrijan las oportunidades, se capacite a los miembros del equipo, etc.</t>
  </si>
  <si>
    <t>Riesgo alto 70% o menos</t>
  </si>
  <si>
    <t>Calificaciones de riesgo</t>
  </si>
  <si>
    <t>El restaurante cumple con algunas normas de seguridad alimentaria. Las medidas correctivas para todos los hallazgos deben tomarse dentro de los 5 días posteriores a la recepción del informe de evaluación final. Es posible que sea necesario realizar una documentación de seguimiento o una nueva visita para cualquier problema que no se haya corregido en el momento.</t>
  </si>
  <si>
    <t>El restaurante no cumple con los estándares de seguridad alimentaria. Las acciones correctivas para todos los hallazgos deben tomarse dentro de los 5 días posteriores a la recepción del informe de evaluación final. Se debe realizar una nueva evaluación dentro de los 30 a 45 días para verificar que se corrijan las oportunidades y se eliminen las causas fundamentales.</t>
  </si>
  <si>
    <t>Actividades de seguimiento</t>
  </si>
  <si>
    <t>1. Cada pregunta vale 1, 5 o 7 puntos (los puntos son todo o nada) para un total de 117 puntos posibles.</t>
  </si>
  <si>
    <t>2. Riesgo inminente para la salud (IHR): No hay valores asignados a las 7 preguntas; marque dentro de la pregunta crítica sistémica apropiada, escale el problema según sea necesario y aplique acciones correctivas inmediatas. Si hay un riesgo inminente para la salud (IHR) en el momento de la evaluación, entonces la pregunta crítica correspondiente dentro de la evaluación debe marcarse con un "No", independientemente de si el IHR se cura en el momento. Si hay un IHR, la revisión continuará y se completará en su totalidad para ayudar a descubrir la causa raíz del IHR.</t>
  </si>
  <si>
    <t>Limpieza y Saneamiento</t>
  </si>
  <si>
    <t>Buenas prácticas de venta minorista</t>
  </si>
  <si>
    <t>Documentación</t>
  </si>
  <si>
    <t xml:space="preserve"> Salud e higiene de los empleados</t>
  </si>
  <si>
    <r>
      <t xml:space="preserve"> Una plantilla de plan de acción mensual de Inspire</t>
    </r>
    <r>
      <rPr>
        <sz val="14"/>
        <rFont val="Arial"/>
        <family val="2"/>
      </rPr>
      <t>Utilice los resultados de One Inspire para crear un plan de acción para cerrar las brechas con los estándares de la marca. Todo aquello que no haya obtenido una puntuación "sí" en One Inspire es una brecha. Utilice el formato de objetivo SMART (específico, medible, alcanzable, realista y oportuno).</t>
    </r>
  </si>
  <si>
    <t>CS.1 (Mayor) El agua caliente alcanza un mínimo de 85 °F (29 °C) en todos los lavamanos, 110 °F (43 °C) en los lavaplatos y 160 °F (71 °C) de temperatura superficial en todas las máquinas lavaplatos de alta temperatura.</t>
  </si>
  <si>
    <t>Puntuación FSA % y resultado de riesgo</t>
  </si>
  <si>
    <t>Curado en el momento</t>
  </si>
  <si>
    <t>0 RSI</t>
  </si>
  <si>
    <t>RSI</t>
  </si>
  <si>
    <t>RSI CIM</t>
  </si>
  <si>
    <t>100% - APROBADO -</t>
  </si>
  <si>
    <t>Yes</t>
  </si>
  <si>
    <t>Accion correctiva / Plan de accion</t>
  </si>
  <si>
    <t>Responsable</t>
  </si>
  <si>
    <t>Fecha de ejecucion prevista</t>
  </si>
  <si>
    <t>Fecha de cierre real (¿Terminado?)</t>
  </si>
  <si>
    <t>Total</t>
  </si>
  <si>
    <t>TT.1 (Crítico) Alimentos refrigerados mantenidos a 41 °F (5°C) o menos</t>
  </si>
  <si>
    <r>
      <t xml:space="preserve"> TT.4 (Crítico) Control de tiempo/temperatura para seguridad (TCS) Los alimentos en almacenamiento en caliente se mantienen a ≥ 135 °F (65°C) </t>
    </r>
    <r>
      <rPr>
        <i/>
        <sz val="16"/>
        <rFont val="Calibri"/>
        <family val="2"/>
      </rPr>
      <t>NOTA: Si no se mantiene caliente en esta ubicación, marque con un círculo los puntos obtenidos como 7</t>
    </r>
  </si>
  <si>
    <r>
      <t xml:space="preserve"> DOC.2 (Menor) Los documentos de temperatura de cocción están completos, son precisos y incluyen acciones correctivas.</t>
    </r>
    <r>
      <rPr>
        <i/>
        <sz val="16"/>
        <rFont val="Calibri"/>
        <family val="2"/>
      </rPr>
      <t>NOTA: Si no se cocina en esta ubicación, marque con un círculo los puntos obtenidos como 1</t>
    </r>
  </si>
  <si>
    <t>Nombre de la persona que completa el formulario</t>
  </si>
  <si>
    <t>Country</t>
  </si>
  <si>
    <t>MONTHLY ROR SCORE CARD</t>
  </si>
  <si>
    <t>Bahrain</t>
  </si>
  <si>
    <t>COUNTRY</t>
  </si>
  <si>
    <t>COLOMBIA</t>
  </si>
  <si>
    <t>Egypt</t>
  </si>
  <si>
    <t>MONTH</t>
  </si>
  <si>
    <t xml:space="preserve"> </t>
  </si>
  <si>
    <t>Indonesia</t>
  </si>
  <si>
    <t>Kuwait</t>
  </si>
  <si>
    <t>FOOD SAFETY</t>
  </si>
  <si>
    <t>Lebanon</t>
  </si>
  <si>
    <t>DATE</t>
  </si>
  <si>
    <t>Stores</t>
  </si>
  <si>
    <t>Imminent Health Risks (IHR)</t>
  </si>
  <si>
    <t>Sanitation System</t>
  </si>
  <si>
    <t>Malaysia</t>
  </si>
  <si>
    <t>%</t>
  </si>
  <si>
    <t>Oman</t>
  </si>
  <si>
    <t>Qatar</t>
  </si>
  <si>
    <t>Saudi Arabia</t>
  </si>
  <si>
    <t>Singapore</t>
  </si>
  <si>
    <t>South Africa</t>
  </si>
  <si>
    <t>Thailand</t>
  </si>
  <si>
    <t>UAE</t>
  </si>
  <si>
    <t>Vietnam</t>
  </si>
  <si>
    <t>Yemen</t>
  </si>
  <si>
    <t>New Zealand</t>
  </si>
  <si>
    <t>India</t>
  </si>
  <si>
    <t>AVERAGE COUNTRY'S TOTAL %</t>
  </si>
  <si>
    <t>LIMPIEZA Y ASEO</t>
  </si>
  <si>
    <t>SALUD E HIGIENE DE LOS EMPLEADOS</t>
  </si>
  <si>
    <t>TIEMPOS Y TEMPERATURAS</t>
  </si>
  <si>
    <t>BUENAS PRACTICAS DE MERCADEO</t>
  </si>
  <si>
    <t>MANEJO DE PLAGAS</t>
  </si>
  <si>
    <t>DOCUMENTACIÓN</t>
  </si>
  <si>
    <t>PUNTOS DISPONIBLES</t>
  </si>
  <si>
    <t>PUNTOS OBTENIDOS</t>
  </si>
  <si>
    <t>TOTAL</t>
  </si>
  <si>
    <t>NA</t>
  </si>
  <si>
    <t>MANTENIMIENTO</t>
  </si>
  <si>
    <t>META: PINTURA Y LIPMPIEZA</t>
  </si>
  <si>
    <t>META: LAVADO DE MANOS</t>
  </si>
  <si>
    <t>PV 180 CIUDADELA COMERCIAL UNICENTRO LOCAL 2 -158</t>
  </si>
  <si>
    <t>PV 106 CALLE 140 # 12-51 BQ A</t>
  </si>
  <si>
    <t>PV 102 CRA 12 # 89-33 LOCAL 1</t>
  </si>
  <si>
    <t>PV 290 Calle 90 No. 16-10, Local 5, Ed. 9016</t>
  </si>
  <si>
    <t xml:space="preserve">PV 276 Carrera 15 No. 92-29 local 2 </t>
  </si>
  <si>
    <t>PV 244 CALLE 100 No. 8a-49 LOCAL 129, ED. WORLD TRADE CENTER</t>
  </si>
  <si>
    <t>PV 285 Calle 100 No. 13-95, local 1er piso, Torre Empresarial FD-100</t>
  </si>
  <si>
    <t>PV 266 CARRERA 15 No. 95-55</t>
  </si>
  <si>
    <t xml:space="preserve">PV 141 AV. 13 No. 125-91- ESTACION TERPEL AUTOPISTA NORTE </t>
  </si>
  <si>
    <t>PV 225 CALLE 100 No. 19-54 LOCAL 3 EPSON</t>
  </si>
  <si>
    <t>PV 284 Carrera 45 No. 95-86, Local 1 Edif. Tokio</t>
  </si>
  <si>
    <t>PV 262 CALLE 125 No. 21A-71, LOCAL 3, EDIF. SANTA BARBARA PLAZA PH</t>
  </si>
  <si>
    <t>PV 283 AUTOPISTA NORTE #123-24 LOCAL 105, Ed. Sapiencia</t>
  </si>
  <si>
    <t>PV 226 CALLE 113 No. 7-21 TELEPORT</t>
  </si>
  <si>
    <t>PV  249 CARRRERA 7 No. 116-50 1ER PISO ED. FLOR MORADO</t>
  </si>
  <si>
    <t>PV 136 ÉXITO COUNTRY CALLE 134 # 14-51</t>
  </si>
  <si>
    <r>
      <t xml:space="preserve">CIUDADELA COMERCIAL UNICENTRO LOCAL 2 -158- </t>
    </r>
    <r>
      <rPr>
        <b/>
        <sz val="12"/>
        <color rgb="FFFF0000"/>
        <rFont val="Calibri"/>
        <family val="2"/>
      </rPr>
      <t>PV 180</t>
    </r>
  </si>
  <si>
    <r>
      <t xml:space="preserve">CALLE 140 # 12-51 BQ A- </t>
    </r>
    <r>
      <rPr>
        <b/>
        <sz val="12"/>
        <color rgb="FFFF0000"/>
        <rFont val="Calibri"/>
        <family val="2"/>
      </rPr>
      <t>PV 106</t>
    </r>
  </si>
  <si>
    <r>
      <t>Calle 90 No. 16-10, Local 5, Ed. 9016-</t>
    </r>
    <r>
      <rPr>
        <b/>
        <sz val="12"/>
        <color rgb="FFFF0000"/>
        <rFont val="Calibri"/>
        <family val="2"/>
      </rPr>
      <t>PV 290</t>
    </r>
  </si>
  <si>
    <r>
      <t>CRA 12 # 89-33 LOCAL 1-</t>
    </r>
    <r>
      <rPr>
        <b/>
        <sz val="12"/>
        <color rgb="FFFF0000"/>
        <rFont val="Calibri"/>
        <family val="2"/>
      </rPr>
      <t>PV 102</t>
    </r>
  </si>
  <si>
    <r>
      <t>Carrera 15 No. 92-29 local 2 -</t>
    </r>
    <r>
      <rPr>
        <b/>
        <sz val="12"/>
        <color rgb="FFFF0000"/>
        <rFont val="Calibri"/>
        <family val="2"/>
      </rPr>
      <t>PV 276</t>
    </r>
  </si>
  <si>
    <r>
      <t>Calle 100 No. 13-95, local 1er piso, Torre Empresarial FD-100-</t>
    </r>
    <r>
      <rPr>
        <b/>
        <sz val="12"/>
        <color rgb="FFFF0000"/>
        <rFont val="Calibri"/>
        <family val="2"/>
      </rPr>
      <t xml:space="preserve"> PV 285</t>
    </r>
  </si>
  <si>
    <r>
      <t>CARRERA 15 No. 95-55</t>
    </r>
    <r>
      <rPr>
        <b/>
        <sz val="12"/>
        <color rgb="FFFF0000"/>
        <rFont val="Calibri"/>
        <family val="2"/>
      </rPr>
      <t>-PV 266</t>
    </r>
  </si>
  <si>
    <r>
      <t xml:space="preserve">AV. 13 No. 125-91- ESTACION TERPEL AUTOPISTA NORTE </t>
    </r>
    <r>
      <rPr>
        <b/>
        <sz val="12"/>
        <color rgb="FFFF0000"/>
        <rFont val="Calibri"/>
        <family val="2"/>
      </rPr>
      <t>-PV 141</t>
    </r>
  </si>
  <si>
    <r>
      <t>CALLE 100 No. 19-54 LOCAL 3 EPSON-</t>
    </r>
    <r>
      <rPr>
        <b/>
        <sz val="12"/>
        <color rgb="FFFF0000"/>
        <rFont val="Calibri"/>
        <family val="2"/>
      </rPr>
      <t xml:space="preserve"> PV 225</t>
    </r>
  </si>
  <si>
    <r>
      <t>Carrera 45 No. 95-86, Local 1 Edif. Tokio-</t>
    </r>
    <r>
      <rPr>
        <b/>
        <sz val="12"/>
        <color rgb="FFFF0000"/>
        <rFont val="Calibri"/>
        <family val="2"/>
      </rPr>
      <t xml:space="preserve"> PV 284</t>
    </r>
  </si>
  <si>
    <r>
      <t>CALLE 125 No. 21A-71, LOCAL 3, EDIF. SANTA BARBARA PLAZA PH-</t>
    </r>
    <r>
      <rPr>
        <b/>
        <sz val="12"/>
        <color rgb="FFFF0000"/>
        <rFont val="Calibri"/>
        <family val="2"/>
      </rPr>
      <t>PV 262</t>
    </r>
  </si>
  <si>
    <r>
      <t>AUTOPISTA NORTE #123-24 LOCAL 105, Ed. Sapiencia-</t>
    </r>
    <r>
      <rPr>
        <b/>
        <sz val="12"/>
        <color rgb="FFFF0000"/>
        <rFont val="Calibri"/>
        <family val="2"/>
      </rPr>
      <t>PV 283</t>
    </r>
  </si>
  <si>
    <r>
      <t>CALLE 113 No. 7-21 TELEPORT-</t>
    </r>
    <r>
      <rPr>
        <b/>
        <sz val="12"/>
        <color rgb="FFFF0000"/>
        <rFont val="Calibri"/>
        <family val="2"/>
      </rPr>
      <t>PV 226</t>
    </r>
  </si>
  <si>
    <r>
      <t>CARRRERA 7 No. 116-50 1ER PISO ED. FLOR MORADO-</t>
    </r>
    <r>
      <rPr>
        <b/>
        <sz val="12"/>
        <color rgb="FFFF0000"/>
        <rFont val="Calibri"/>
        <family val="2"/>
      </rPr>
      <t>PV 249</t>
    </r>
  </si>
  <si>
    <r>
      <t>ÉXITO COUNTRY CALLE 134 # 14-51-</t>
    </r>
    <r>
      <rPr>
        <b/>
        <sz val="12"/>
        <color rgb="FFFF0000"/>
        <rFont val="Calibri"/>
        <family val="2"/>
      </rPr>
      <t>PV 136</t>
    </r>
  </si>
  <si>
    <r>
      <t xml:space="preserve">SOKO 147 </t>
    </r>
    <r>
      <rPr>
        <b/>
        <sz val="12"/>
        <color rgb="FFFF0000"/>
        <rFont val="Calibri"/>
        <family val="2"/>
      </rPr>
      <t>P,V 295</t>
    </r>
  </si>
  <si>
    <r>
      <t>CALLE 127 A NIZA  PV</t>
    </r>
    <r>
      <rPr>
        <b/>
        <sz val="12"/>
        <color rgb="FFFF0000"/>
        <rFont val="Calibri"/>
        <family val="2"/>
      </rPr>
      <t xml:space="preserve"> 296</t>
    </r>
  </si>
  <si>
    <t xml:space="preserve">JENNIFER QUINTERO - CAROLINA ZAMORA </t>
  </si>
  <si>
    <t xml:space="preserve">EVERLEY GIL - CAROLINA ZAMORA </t>
  </si>
  <si>
    <t xml:space="preserve">CAMILO TORRES - CAROLINA ZAMORA CASTILLO </t>
  </si>
  <si>
    <t xml:space="preserve">KAREN NARVAEZ - CAROLINA ZAMORA </t>
  </si>
  <si>
    <t xml:space="preserve">CAROLINA MENDEZ - CAROLINA ZAMORA </t>
  </si>
  <si>
    <t xml:space="preserve">KAREN MORENO - CAROLINA ZAMORA </t>
  </si>
  <si>
    <t xml:space="preserve">JENNIFER QUINTERO - CAROLINA ZAMORA CASTILLO </t>
  </si>
  <si>
    <t>PV 295 EDIFICIO SOKO CALLE 147 #19-45</t>
  </si>
  <si>
    <t xml:space="preserve">PV 296 EDIFICIO BAVARIA CALLE 127 </t>
  </si>
  <si>
    <t>PV 257 ALCALA CALLE 134</t>
  </si>
  <si>
    <r>
      <t xml:space="preserve">Calle 135 #45-21 - </t>
    </r>
    <r>
      <rPr>
        <b/>
        <sz val="12"/>
        <color rgb="FFFF0000"/>
        <rFont val="Calibri"/>
        <family val="2"/>
      </rPr>
      <t>PV 257</t>
    </r>
  </si>
  <si>
    <t xml:space="preserve">DANNA MILENA MARTINEZ WALTER - CAROLINA ZAMORA CASTILLO </t>
  </si>
  <si>
    <t xml:space="preserve">DANNA MARTINEZ - CAROLINA ZAMORA </t>
  </si>
  <si>
    <t xml:space="preserve">CAROLINA MENDEZ  - CAROLINA ZAMORA CASTILLO </t>
  </si>
  <si>
    <t>U</t>
  </si>
  <si>
    <t xml:space="preserve">CAMILO TORRES  - CAROLINA ZAMORA </t>
  </si>
  <si>
    <t xml:space="preserve">JULIAN RODRIGUEZ  - CAROLINA ZAMORA </t>
  </si>
  <si>
    <r>
      <t>CALLE 100 No. 8a-49 LOCAL 129, ED. WORLD TRADE CENTER</t>
    </r>
    <r>
      <rPr>
        <b/>
        <sz val="12"/>
        <color rgb="FFFF0000"/>
        <rFont val="Calibri"/>
        <family val="2"/>
      </rPr>
      <t>-PV 244</t>
    </r>
  </si>
  <si>
    <t xml:space="preserve">ESTEBAN CORTES  - CAROLINA ZAMORA </t>
  </si>
  <si>
    <t xml:space="preserve">No hay constante lavado de manos </t>
  </si>
  <si>
    <t>No da la concentracion de sanitizante en recipientes</t>
  </si>
  <si>
    <t xml:space="preserve">No hay lavado de manos en cada cambio de actividad </t>
  </si>
  <si>
    <t xml:space="preserve">Las pocetas se encuentran cona acumulacion de suciedad </t>
  </si>
  <si>
    <t xml:space="preserve">Tablero de comunicaciones incompleto y faltan documentos en carpeta legal </t>
  </si>
  <si>
    <t xml:space="preserve">No hay flujo de agua caliente en poceta de lavado de manos </t>
  </si>
  <si>
    <t xml:space="preserve">No hay constate desinfeccion de superficies </t>
  </si>
  <si>
    <t xml:space="preserve">JENNIFER QUINTERO </t>
  </si>
  <si>
    <t xml:space="preserve">EVERLEY GIL </t>
  </si>
  <si>
    <t xml:space="preserve">ESTEBAN CORTES </t>
  </si>
  <si>
    <t xml:space="preserve">JULIAN RODRIGUEZ </t>
  </si>
  <si>
    <t>CAMILO TORRES</t>
  </si>
  <si>
    <t>KAREN NARVAEZ</t>
  </si>
  <si>
    <t xml:space="preserve">KAREN NARVAEZ </t>
  </si>
  <si>
    <t>DANNA MARTINEZ</t>
  </si>
  <si>
    <t xml:space="preserve">KAREN MORENO </t>
  </si>
  <si>
    <t xml:space="preserve">INMEDIATO </t>
  </si>
  <si>
    <t xml:space="preserve">Hacer retroliemntacion y seguimiento sobre procesos de sanitizante </t>
  </si>
  <si>
    <t xml:space="preserve">Realizar capacitacion t retroaliemntacion sobre RIS y enfermedades </t>
  </si>
  <si>
    <t xml:space="preserve">Hacer capacitacion continua y vigoalancia al proceso de lavado de manos </t>
  </si>
  <si>
    <t xml:space="preserve">inmediato </t>
  </si>
  <si>
    <t xml:space="preserve">Realizar capacitacion  y revision diaria en rotulacion </t>
  </si>
  <si>
    <t xml:space="preserve">Hacer segumineto y capacitacion continua sobre los procesos de rotulacion </t>
  </si>
  <si>
    <t xml:space="preserve">Soliictar revision de pedal para poceta de lavado de manos </t>
  </si>
  <si>
    <t xml:space="preserve">Realizar cronograma de aseo donde se incluya lavado de tapas de utensilios </t>
  </si>
  <si>
    <t xml:space="preserve">Reforzar limpieza en rincones para evitar exceso de polvo </t>
  </si>
  <si>
    <t xml:space="preserve">Soliictra fumigacion y mantenimiento para cerrar huecos que ayuden a la proiferacion de plagas </t>
  </si>
  <si>
    <t xml:space="preserve">Realizar constante retroalimentacion sobre procesos de higiene y lavado de manos </t>
  </si>
  <si>
    <t>TEMPERATURA POCETA DE LAVADO DE UTENSILIOS EN 40 C°</t>
  </si>
  <si>
    <t xml:space="preserve">CONCENTRACION EN RECIPIENTE LIMPIASECOS EN 50 PPM </t>
  </si>
  <si>
    <t>REFORZAR RIESGOS INMINENTES Y ENFERMEDADES</t>
  </si>
  <si>
    <t xml:space="preserve">REFORZAR LAVADO DE MANOS </t>
  </si>
  <si>
    <t xml:space="preserve">PRODUCTO CON ROTULO MAL ELABORADO, PRODUCTO QUE NO TIENE RÓTULO DE DESCONGELACIÓN </t>
  </si>
  <si>
    <t xml:space="preserve">FALTA DE DOCUMENTACION DE PROVEEDOR DE PLAGAS Y CERTIFICADOS </t>
  </si>
  <si>
    <t xml:space="preserve">RETROALIMENTACIÓN Y REVISIÓN CONSTANTE </t>
  </si>
  <si>
    <t xml:space="preserve">ESTEBAN CORTÉS </t>
  </si>
  <si>
    <t xml:space="preserve">REFUERZO Y REINDUCCIÓN DE LA IMPORTANCIA </t>
  </si>
  <si>
    <t xml:space="preserve">PROGRAMACIÓN DE TIEMPOS PARA ESTA TAREA Y EN CAMBIO DE ACTIVIDADES </t>
  </si>
  <si>
    <t xml:space="preserve">GENERAL LLAMADA DE ATENCIÓN POR ESCRITO HACIENDO CLARIDAD DE CÓMO SE HACE CORRECTAMENTE UN RÓTULO </t>
  </si>
  <si>
    <t>REVISIÓN DE DOCUMENTACIÓN MENSUALMENTE Y COMPLETAR CON DOCUMENTOS FALTANTES</t>
  </si>
  <si>
    <t>31/09/2026</t>
  </si>
  <si>
    <t xml:space="preserve">LAS POCETAS SE ENCUENTRAN SUCIAS </t>
  </si>
  <si>
    <t xml:space="preserve">SE EVIDENCIAN JARRAS CON LECHE Y ESPATULA GUARDADA CON RESIDUOS </t>
  </si>
  <si>
    <t>EL PERSONAL NO TIENE CLARO LOS RIS Y LAS ENFERMEDADES</t>
  </si>
  <si>
    <t xml:space="preserve">NO SE LAVAN LAS MANOS CON FRECUENCIA, NO SE QUITAN EL DELANTAL PARA REALIZAR EL ASEO </t>
  </si>
  <si>
    <t xml:space="preserve">REFORZAR EL LAVADO DE POCETAS CON MAYOR FRECUENCIA </t>
  </si>
  <si>
    <t xml:space="preserve">REALIZAR REFUERZO SOBRE EL LAVADO DE UTENSILIOS CON FRECUENCIA DE 4 HORAS O MENOR DE SER NECESARIO </t>
  </si>
  <si>
    <t xml:space="preserve">REALIZAR CAPACITACION CONTNUA SOBRE LOS RIS Y ENFERMADES </t>
  </si>
  <si>
    <t xml:space="preserve">REALIAR RETROALIMENTACION SOBRE PRACTICAS DE HIGIENE </t>
  </si>
  <si>
    <t>No dio la concentracion  se expica forma correcta de preparacion del sanitizante tanto en poceta como en galon</t>
  </si>
  <si>
    <t xml:space="preserve">se ivendicia  que en el galon de fregadero esta con jabon de mano se realiza correcion </t>
  </si>
  <si>
    <t>faltaban temperaturas de entrada a las 6 am</t>
  </si>
  <si>
    <t xml:space="preserve"> Se toma temperatura a producto de panader ,se realiza capacitacion de los productos correctos a tomar  temperatura  como huevo sausage ,flat y wrap</t>
  </si>
  <si>
    <t>rotulos vencido de las 6 am</t>
  </si>
  <si>
    <t xml:space="preserve">REALIAZAR REVISION DIARIA Y REFUERZO EN LA CONCENTRACION DE SANITIZANTE </t>
  </si>
  <si>
    <t xml:space="preserve">REALIZAR RETROAIEMNTACION SOBRE JABONES Y QUIMICOS Y SU FORMA DE USO </t>
  </si>
  <si>
    <t xml:space="preserve">REALIZAR REVISION DIARIA SOBRE LA TOMA DE TEMPERATURA GENERAR LLAMADOS DE ATENCION </t>
  </si>
  <si>
    <t>SOLICITAR REVISION DE TURBO PARA PROGRAAR TEMPERATURA DE COCCION 74C°</t>
  </si>
  <si>
    <t xml:space="preserve"> Poca concentracion. Realizar el cambio de sanitizante cada 4 horas en posetas, aspersor y  portalimpiasecos.</t>
  </si>
  <si>
    <t>No se evidencia el tema del lavado de mano en cada cambio de actividad .</t>
  </si>
  <si>
    <t xml:space="preserve">Termometro, intermitente por temas de bateria y posible descalibracion en temperatura. </t>
  </si>
  <si>
    <t>Rotulos con cinta en la leche de almendras.</t>
  </si>
  <si>
    <t xml:space="preserve">eor incompetos </t>
  </si>
  <si>
    <t xml:space="preserve">realizar capacitacion continua y revision sobre revision de concetracion </t>
  </si>
  <si>
    <t>reforzar lavado de manos y retroalimentar la importancia de este ejercicio</t>
  </si>
  <si>
    <t xml:space="preserve">Comprar baterias para el cambio de termometro </t>
  </si>
  <si>
    <t>Eliminar producto con stickers en cinta y retroaliemntar del correcto uso de stockers en productos</t>
  </si>
  <si>
    <t xml:space="preserve">Imprimir los  ultimos 12 EOR Y guaradr en carpeta </t>
  </si>
  <si>
    <t xml:space="preserve">SE ENCUENTRA TE CHAI CON ROTULACION A UN MES Y JARABE DE MANDARINA CON FECHA INICIO 08/08/26 FECHA V:08/08/26.  </t>
  </si>
  <si>
    <t>Hacer capacitacion continua sobre procesos de higiene</t>
  </si>
  <si>
    <t xml:space="preserve">Hacer retroalimentacion y revision continua sobre rotulacion </t>
  </si>
  <si>
    <t>Reforzar limpieza de rincones en la parte exterior de vitrina</t>
  </si>
  <si>
    <t xml:space="preserve">Se evidencia exceso de residuos en rincones de parte exterios </t>
  </si>
  <si>
    <t xml:space="preserve">Metales manchados y sucios </t>
  </si>
  <si>
    <t xml:space="preserve">La rotulacion no tiene informacion completa, jarabe de pistacho sin rotulo </t>
  </si>
  <si>
    <t>Solicitar guia de limpieza actualizada</t>
  </si>
  <si>
    <t xml:space="preserve">Se evidencia producto congelado en temperatura ambiente </t>
  </si>
  <si>
    <t>Hacer seguimiento a diario del lavado de pocetas y reprogramar con mayor continuidad el lavado</t>
  </si>
  <si>
    <t xml:space="preserve">Reforzar exigencia sobre lavado de manos en cada cambio de actividad </t>
  </si>
  <si>
    <t xml:space="preserve">Hacer capacitacion de trazabilidad de productos congelados y correcta rotulacion </t>
  </si>
  <si>
    <t>Generar retroalimetacion sobre la forma crrecta de rotular</t>
  </si>
  <si>
    <t xml:space="preserve">JULIAN TORRES  - CAROLINA ZAMORA </t>
  </si>
  <si>
    <t xml:space="preserve">Te en polvo sin rotulo. Bottellon de agua sin rotulo. Azucar donuts sin rotulo </t>
  </si>
  <si>
    <t xml:space="preserve">Jabonera con residuos de suciedad. Espatula almacenada con residuos de queso. </t>
  </si>
  <si>
    <t>Falta documentacion de certificados de fumigacion desde diciembre 2025</t>
  </si>
  <si>
    <t xml:space="preserve">Faltan documentos de manipulacion de Jhon y Julian </t>
  </si>
  <si>
    <t>Paredes con exceso de suciedad, pocetas con posibilidades de mejora en limpiza</t>
  </si>
  <si>
    <t xml:space="preserve">Programar con mayo frecuenncia el lavado de paredes y pocetas </t>
  </si>
  <si>
    <t xml:space="preserve">Reforzar lavado de jabonera con mayor frecuencia, poner en cronograma de aseo </t>
  </si>
  <si>
    <t xml:space="preserve">Exigir cn mayo frecuencia el lavado de manos en cambios de actividad </t>
  </si>
  <si>
    <t xml:space="preserve">Imprimir y archivar ibfirmacon faltante en caroeta de snaidad alimnetaria </t>
  </si>
  <si>
    <t xml:space="preserve">Reforzar el conocimiento en rotulacion y hacerseguimiento continuo </t>
  </si>
  <si>
    <t>Reforzar conocimiento de RIS y enfermedades</t>
  </si>
  <si>
    <t xml:space="preserve">Reforzar limpieza en puertas, exceso de polvo, poceta de lavado de traperos sucia. Reforzar lavado de cajones. </t>
  </si>
  <si>
    <t>Rotulacion debe ser directa en el empaque</t>
  </si>
  <si>
    <t>No hay tablero de comunicaciones</t>
  </si>
  <si>
    <t xml:space="preserve">Nveras con empaques llenos de residuos </t>
  </si>
  <si>
    <t xml:space="preserve">Faltan certificados de fumigacion </t>
  </si>
  <si>
    <t xml:space="preserve">Poner en cronograma el lavado de paredes </t>
  </si>
  <si>
    <t xml:space="preserve">Reforzar el lavado de neveras y emques </t>
  </si>
  <si>
    <t xml:space="preserve">Hacer capacitacion continua sobre RIS y enfermedades </t>
  </si>
  <si>
    <t xml:space="preserve">Hacer capacitacion continua sobre los procesos de rotulacion </t>
  </si>
  <si>
    <t xml:space="preserve">Imprimir y anexar documentos faltantes </t>
  </si>
  <si>
    <t xml:space="preserve">No hay limpiasecos </t>
  </si>
  <si>
    <t xml:space="preserve">No hay sanitizante hecho </t>
  </si>
  <si>
    <t>Se evidencian jarabes de refreshers vencidos</t>
  </si>
  <si>
    <t xml:space="preserve">Se evidencian jarras medidoras con residuos de prepraciones pasadas </t>
  </si>
  <si>
    <t>Carpeta de sanidad alimentaria incomleta</t>
  </si>
  <si>
    <t xml:space="preserve">no se evidencian certificados de fumigacion de agosto y Julio </t>
  </si>
  <si>
    <t xml:space="preserve">Personal guarda uniformes en el almacem </t>
  </si>
  <si>
    <t xml:space="preserve">Solicitar limpisecos </t>
  </si>
  <si>
    <t xml:space="preserve">Realizar sanitizante </t>
  </si>
  <si>
    <t xml:space="preserve">Lavar utensilios que cuenta con residuos </t>
  </si>
  <si>
    <t xml:space="preserve">Hacer llamado de atencuion y retroalimentacion sobre procesos d higiene con el uniforme </t>
  </si>
  <si>
    <t xml:space="preserve">Botar producto vencido y generar descuento si se requiere </t>
  </si>
  <si>
    <t>Imprimir documentacion faltante y anexar en carpetas</t>
  </si>
  <si>
    <t xml:space="preserve">Se evidencia residuos de leche en jarras </t>
  </si>
  <si>
    <t>Las pocetas se encuentran con residuos de suciedad</t>
  </si>
  <si>
    <t xml:space="preserve">El perosnal no recnce los RIS </t>
  </si>
  <si>
    <t xml:space="preserve">No se quitan el delantal para hacer aseo </t>
  </si>
  <si>
    <t xml:space="preserve">Almojabanas sin rotulo </t>
  </si>
  <si>
    <t xml:space="preserve">Hacer revision diaria de sanitiznte y hacer retroalimentacion </t>
  </si>
  <si>
    <t xml:space="preserve">Reforzar lavado de poceta y cambiar cronograma para mejorar frecuencia </t>
  </si>
  <si>
    <t xml:space="preserve">Hacer Capacitacion continua sobre las enfermedades y RIS </t>
  </si>
  <si>
    <t xml:space="preserve">Hacer revision diaria sobre rotulacion y constante retroaliemtacion </t>
  </si>
  <si>
    <t xml:space="preserve">Hacer seguiienti diario y retroaliemntacion sobre la forma adecuada de alamacener quimicos </t>
  </si>
  <si>
    <t xml:space="preserve">Se evidencia quimico que no pertenece a los aprobados </t>
  </si>
  <si>
    <t>Concentracion de sanitizante 50 PPM en recipiente de limpiasecos</t>
  </si>
  <si>
    <t xml:space="preserve">No hay lavado frecuente de manos </t>
  </si>
  <si>
    <t>Azucar donuts sin rotulo</t>
  </si>
  <si>
    <t xml:space="preserve">Tablero de comunicaciones incompleto </t>
  </si>
  <si>
    <t>No hay constante desinfeccion del area</t>
  </si>
  <si>
    <t xml:space="preserve">Hacer seguimiento y revision diaria a concentracion de sanitizante </t>
  </si>
  <si>
    <t xml:space="preserve">Eliminar queimicos que no estan aprobados y generar retroaliemntacion </t>
  </si>
  <si>
    <t xml:space="preserve">Hacer capacitacion continua y seguimiento al lavado de manos </t>
  </si>
  <si>
    <t>No hay lavado de manos con frecuencia</t>
  </si>
  <si>
    <t xml:space="preserve">Techo se encuentra con residuos de polvo </t>
  </si>
  <si>
    <t>Nevera de exhibion se encuentra con temoeratura en 9c°</t>
  </si>
  <si>
    <t xml:space="preserve">Programar limpiesa de techo con mantenimineto </t>
  </si>
  <si>
    <t xml:space="preserve">Soliictar revision de nevera de eshobcion </t>
  </si>
  <si>
    <t xml:space="preserve">Hacer capacitacion continua y seguimiento al lavado de manos continuo </t>
  </si>
  <si>
    <t xml:space="preserve">Las donuts de bodega no cuentan con canastillas y mantel canasta que evite contamiencion </t>
  </si>
  <si>
    <t xml:space="preserve">No hay lavado de manos constante </t>
  </si>
  <si>
    <t xml:space="preserve">Realizar constante capacitacion para el lavado de manos </t>
  </si>
  <si>
    <t>SEPTIEMBRE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</si>
</sst>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F400]h:mm:ss\ AM/PM"/>
  </numFmts>
  <fonts count="62">
    <font>
      <sz val="11"/>
      <color theme="1"/>
      <name val="Calibri"/>
      <family val="2"/>
      <scheme val="minor"/>
    </font>
    <font>
      <b/>
      <sz val="11"/>
      <color theme="1"/>
      <name val="Calibri"/>
      <family val="2"/>
      <scheme val="minor"/>
    </font>
    <font>
      <sz val="11"/>
      <color theme="1"/>
      <name val="Cambria"/>
      <family val="1"/>
      <scheme val="major"/>
    </font>
    <font>
      <b/>
      <sz val="12"/>
      <color theme="1"/>
      <name val="Cambria"/>
      <family val="1"/>
      <scheme val="major"/>
    </font>
    <font>
      <sz val="11"/>
      <color rgb="FF000000"/>
      <name val="Calibri"/>
      <family val="2"/>
      <scheme val="minor"/>
    </font>
    <font>
      <b/>
      <sz val="12"/>
      <color theme="1"/>
      <name val="Calibri"/>
      <family val="2"/>
      <scheme val="minor"/>
    </font>
    <font>
      <sz val="11"/>
      <color rgb="FF000000"/>
      <name val="Cambria"/>
      <family val="1"/>
      <scheme val="major"/>
    </font>
    <font>
      <b/>
      <sz val="11.5"/>
      <color theme="1"/>
      <name val="Calibri"/>
      <family val="2"/>
      <scheme val="minor"/>
    </font>
    <font>
      <sz val="12"/>
      <color theme="1"/>
      <name val="Cambria"/>
      <family val="1"/>
      <scheme val="major"/>
    </font>
    <font>
      <b/>
      <sz val="11"/>
      <color rgb="FF000000"/>
      <name val="Calibri"/>
      <family val="2"/>
      <scheme val="minor"/>
    </font>
    <font>
      <sz val="11"/>
      <color theme="0"/>
      <name val="Calibri"/>
      <family val="2"/>
      <scheme val="minor"/>
    </font>
    <font>
      <sz val="11"/>
      <name val="Calibri"/>
      <family val="2"/>
      <scheme val="minor"/>
    </font>
    <font>
      <sz val="9"/>
      <color rgb="FF000000"/>
      <name val="Calibri"/>
      <family val="2"/>
      <scheme val="minor"/>
    </font>
    <font>
      <sz val="9"/>
      <color theme="1"/>
      <name val="Calibri"/>
      <family val="2"/>
      <scheme val="minor"/>
    </font>
    <font>
      <sz val="11"/>
      <color rgb="FFC5D8FF"/>
      <name val="Cambria"/>
      <family val="1"/>
      <scheme val="major"/>
    </font>
    <font>
      <sz val="11"/>
      <color theme="0"/>
      <name val="Cambria"/>
      <family val="1"/>
      <scheme val="major"/>
    </font>
    <font>
      <b/>
      <sz val="11"/>
      <color theme="3"/>
      <name val="Calibri"/>
      <family val="2"/>
      <scheme val="minor"/>
    </font>
    <font>
      <b/>
      <sz val="9"/>
      <color theme="1"/>
      <name val="Calibri"/>
      <family val="2"/>
      <scheme val="minor"/>
    </font>
    <font>
      <b/>
      <sz val="12"/>
      <color theme="3"/>
      <name val="Calibri"/>
      <family val="2"/>
      <scheme val="minor"/>
    </font>
    <font>
      <sz val="11"/>
      <color rgb="FF000000"/>
      <name val="Calibri"/>
      <family val="2"/>
    </font>
    <font>
      <sz val="11"/>
      <color theme="1"/>
      <name val="Calibri"/>
      <family val="2"/>
      <scheme val="minor"/>
    </font>
    <font>
      <sz val="10"/>
      <name val="Arial"/>
      <family val="2"/>
    </font>
    <font>
      <sz val="14"/>
      <name val="Arial"/>
      <family val="2"/>
    </font>
    <font>
      <b/>
      <sz val="14"/>
      <color theme="0"/>
      <name val="Arial"/>
      <family val="2"/>
    </font>
    <font>
      <b/>
      <sz val="14"/>
      <name val="Arial"/>
      <family val="2"/>
    </font>
    <font>
      <b/>
      <sz val="16"/>
      <name val="Arial"/>
      <family val="2"/>
    </font>
    <font>
      <sz val="16"/>
      <name val="Calibri"/>
      <family val="2"/>
    </font>
    <font>
      <i/>
      <sz val="16"/>
      <name val="Calibri"/>
      <family val="2"/>
    </font>
    <font>
      <b/>
      <sz val="12"/>
      <color theme="0"/>
      <name val="Arial"/>
      <family val="2"/>
    </font>
    <font>
      <b/>
      <sz val="12"/>
      <name val="Arial"/>
      <family val="2"/>
    </font>
    <font>
      <b/>
      <sz val="18"/>
      <name val="Arial"/>
      <family val="2"/>
    </font>
    <font>
      <b/>
      <sz val="18"/>
      <color theme="1"/>
      <name val="Arial"/>
      <family val="2"/>
    </font>
    <font>
      <b/>
      <sz val="16"/>
      <name val="Calibri"/>
      <family val="2"/>
    </font>
    <font>
      <sz val="14"/>
      <name val="Calibri"/>
      <family val="2"/>
    </font>
    <font>
      <sz val="14"/>
      <name val="Calibri"/>
      <family val="2"/>
      <scheme val="minor"/>
    </font>
    <font>
      <sz val="8"/>
      <name val="Calibri"/>
      <family val="2"/>
      <scheme val="minor"/>
    </font>
    <font>
      <b/>
      <sz val="36"/>
      <color rgb="FFC00000"/>
      <name val="Arial"/>
      <family val="2"/>
    </font>
    <font>
      <sz val="11"/>
      <color rgb="FF000000"/>
      <name val="Arial"/>
      <family val="2"/>
    </font>
    <font>
      <sz val="10"/>
      <color rgb="FF000000"/>
      <name val="Arial"/>
      <family val="2"/>
    </font>
    <font>
      <b/>
      <sz val="11"/>
      <color rgb="FF000000"/>
      <name val="Calibri"/>
      <family val="2"/>
    </font>
    <font>
      <sz val="14"/>
      <color rgb="FFFFFFFF"/>
      <name val="Calibri"/>
      <family val="2"/>
    </font>
    <font>
      <sz val="12"/>
      <color rgb="FFFFFFFF"/>
      <name val="Calibri"/>
      <family val="2"/>
    </font>
    <font>
      <b/>
      <sz val="9"/>
      <color rgb="FF000000"/>
      <name val="Arimo"/>
    </font>
    <font>
      <b/>
      <sz val="16"/>
      <color rgb="FF000000"/>
      <name val="Arimo"/>
    </font>
    <font>
      <b/>
      <sz val="11"/>
      <color rgb="FFFFFFFF"/>
      <name val="Calibri"/>
      <family val="2"/>
    </font>
    <font>
      <b/>
      <sz val="9"/>
      <color rgb="FF000000"/>
      <name val="Calibri"/>
      <family val="2"/>
    </font>
    <font>
      <sz val="11"/>
      <color rgb="FFFFFFFF"/>
      <name val="Calibri"/>
      <family val="2"/>
    </font>
    <font>
      <b/>
      <sz val="12"/>
      <color rgb="FFFFFFFF"/>
      <name val="Calibri"/>
      <family val="2"/>
    </font>
    <font>
      <sz val="8"/>
      <color rgb="FF000000"/>
      <name val="Calibri"/>
      <family val="2"/>
    </font>
    <font>
      <b/>
      <sz val="12"/>
      <color rgb="FF000000"/>
      <name val="Arial"/>
      <family val="2"/>
    </font>
    <font>
      <b/>
      <sz val="12"/>
      <color rgb="FF000000"/>
      <name val="Calibri"/>
      <family val="2"/>
    </font>
    <font>
      <u/>
      <sz val="10"/>
      <color rgb="FF000000"/>
      <name val="Arial"/>
      <family val="2"/>
    </font>
    <font>
      <b/>
      <sz val="11"/>
      <color rgb="FF17365D"/>
      <name val="Calibri"/>
      <family val="2"/>
    </font>
    <font>
      <b/>
      <sz val="11"/>
      <color theme="0"/>
      <name val="Calibri"/>
      <family val="2"/>
    </font>
    <font>
      <b/>
      <sz val="10"/>
      <name val="Arial"/>
      <family val="2"/>
    </font>
    <font>
      <b/>
      <sz val="12"/>
      <color rgb="FFFF0000"/>
      <name val="Calibri"/>
      <family val="2"/>
    </font>
    <font>
      <b/>
      <sz val="10"/>
      <color rgb="FF000000"/>
      <name val="Arial"/>
      <family val="2"/>
    </font>
    <font>
      <sz val="11"/>
      <name val="Arial"/>
      <family val="2"/>
    </font>
    <font>
      <b/>
      <sz val="14"/>
      <color theme="1"/>
      <name val="Arial"/>
      <family val="2"/>
    </font>
    <font>
      <sz val="11"/>
      <name val="Calibri"/>
      <family val="2"/>
    </font>
    <font>
      <sz val="14"/>
      <color theme="1"/>
      <name val="Arial"/>
      <family val="2"/>
    </font>
    <font>
      <b/>
      <sz val="14"/>
      <name val="Arial"/>
      <family val="2"/>
      <charset val="1"/>
    </font>
  </fonts>
  <fills count="44">
    <fill>
      <patternFill patternType="none"/>
    </fill>
    <fill>
      <patternFill patternType="gray125"/>
    </fill>
    <fill>
      <patternFill patternType="solid">
        <fgColor theme="0"/>
        <bgColor indexed="64"/>
      </patternFill>
    </fill>
    <fill>
      <patternFill patternType="solid">
        <fgColor rgb="FFF7AFDC"/>
        <bgColor indexed="64"/>
      </patternFill>
    </fill>
    <fill>
      <patternFill patternType="solid">
        <fgColor rgb="FFC5D8FF"/>
        <bgColor indexed="64"/>
      </patternFill>
    </fill>
    <fill>
      <patternFill patternType="solid">
        <fgColor rgb="FFFFFF66"/>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rgb="FF3F1F20"/>
        <bgColor indexed="64"/>
      </patternFill>
    </fill>
    <fill>
      <patternFill patternType="solid">
        <fgColor rgb="FFFFE5E7"/>
        <bgColor indexed="64"/>
      </patternFill>
    </fill>
    <fill>
      <patternFill patternType="solid">
        <fgColor rgb="FFFF0000"/>
        <bgColor indexed="64"/>
      </patternFill>
    </fill>
    <fill>
      <patternFill patternType="solid">
        <fgColor rgb="FFFFC000"/>
        <bgColor indexed="64"/>
      </patternFill>
    </fill>
    <fill>
      <patternFill patternType="solid">
        <fgColor theme="5"/>
        <bgColor indexed="64"/>
      </patternFill>
    </fill>
    <fill>
      <patternFill patternType="solid">
        <fgColor rgb="FF00B050"/>
        <bgColor indexed="64"/>
      </patternFill>
    </fill>
    <fill>
      <patternFill patternType="solid">
        <fgColor rgb="FFBB4033"/>
        <bgColor indexed="64"/>
      </patternFill>
    </fill>
    <fill>
      <patternFill patternType="solid">
        <fgColor rgb="FF244061"/>
      </patternFill>
    </fill>
    <fill>
      <patternFill patternType="solid">
        <fgColor rgb="FFE36C09"/>
      </patternFill>
    </fill>
    <fill>
      <patternFill patternType="solid">
        <fgColor rgb="FFFF0000"/>
      </patternFill>
    </fill>
    <fill>
      <patternFill patternType="solid">
        <fgColor rgb="FFD99594"/>
      </patternFill>
    </fill>
    <fill>
      <patternFill patternType="solid">
        <fgColor rgb="FFFFC000"/>
      </patternFill>
    </fill>
    <fill>
      <patternFill patternType="solid">
        <fgColor rgb="FFB2A1C7"/>
      </patternFill>
    </fill>
    <fill>
      <patternFill patternType="solid">
        <fgColor rgb="FF76923C"/>
      </patternFill>
    </fill>
    <fill>
      <patternFill patternType="solid">
        <fgColor rgb="FF8DB3E2"/>
      </patternFill>
    </fill>
    <fill>
      <patternFill patternType="solid">
        <fgColor rgb="FF7030A0"/>
      </patternFill>
    </fill>
    <fill>
      <patternFill patternType="solid">
        <fgColor rgb="FF7F7F7F"/>
      </patternFill>
    </fill>
    <fill>
      <patternFill patternType="solid">
        <fgColor rgb="FF00B050"/>
      </patternFill>
    </fill>
    <fill>
      <patternFill patternType="solid">
        <fgColor rgb="FFDAEEF3"/>
      </patternFill>
    </fill>
    <fill>
      <patternFill patternType="solid">
        <fgColor rgb="FFE5DFEC"/>
      </patternFill>
    </fill>
    <fill>
      <patternFill patternType="solid">
        <fgColor rgb="FFEAF1DD"/>
      </patternFill>
    </fill>
    <fill>
      <patternFill patternType="solid">
        <fgColor rgb="FFD6E3BC"/>
      </patternFill>
    </fill>
    <fill>
      <patternFill patternType="solid">
        <fgColor rgb="FFFBD4B4"/>
      </patternFill>
    </fill>
    <fill>
      <patternFill patternType="solid">
        <fgColor rgb="FFC4BD97"/>
      </patternFill>
    </fill>
    <fill>
      <patternFill patternType="solid">
        <fgColor rgb="FFBFBFBF"/>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theme="0" tint="-0.249977111117893"/>
        <bgColor indexed="64"/>
      </patternFill>
    </fill>
    <fill>
      <patternFill patternType="solid">
        <fgColor theme="2" tint="-0.249977111117893"/>
        <bgColor indexed="64"/>
      </patternFill>
    </fill>
    <fill>
      <patternFill patternType="solid">
        <fgColor theme="6" tint="0.79998168889431442"/>
        <bgColor indexed="64"/>
      </patternFill>
    </fill>
    <fill>
      <patternFill patternType="solid">
        <fgColor rgb="FF00B0F0"/>
        <bgColor indexed="64"/>
      </patternFill>
    </fill>
    <fill>
      <patternFill patternType="solid">
        <fgColor theme="9" tint="0.79998168889431442"/>
        <bgColor indexed="64"/>
      </patternFill>
    </fill>
    <fill>
      <patternFill patternType="solid">
        <fgColor rgb="FFFFE5E7"/>
        <bgColor rgb="FFFFFFFF"/>
      </patternFill>
    </fill>
    <fill>
      <patternFill patternType="solid">
        <fgColor rgb="FFFFE5E7"/>
        <bgColor rgb="FFFFE5E7"/>
      </patternFill>
    </fill>
  </fills>
  <borders count="105">
    <border>
      <left/>
      <right/>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medium">
        <color indexed="64"/>
      </top>
      <bottom/>
      <diagonal/>
    </border>
    <border>
      <left/>
      <right/>
      <top/>
      <bottom style="medium">
        <color indexed="64"/>
      </bottom>
      <diagonal/>
    </border>
    <border>
      <left style="thin">
        <color indexed="64"/>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bottom style="thin">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medium">
        <color indexed="64"/>
      </right>
      <top style="medium">
        <color indexed="64"/>
      </top>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right style="medium">
        <color indexed="64"/>
      </right>
      <top/>
      <bottom/>
      <diagonal/>
    </border>
    <border>
      <left/>
      <right style="medium">
        <color indexed="64"/>
      </right>
      <top style="medium">
        <color indexed="64"/>
      </top>
      <bottom style="thin">
        <color indexed="64"/>
      </bottom>
      <diagonal/>
    </border>
    <border>
      <left style="medium">
        <color indexed="64"/>
      </left>
      <right style="thin">
        <color theme="0"/>
      </right>
      <top style="thin">
        <color indexed="64"/>
      </top>
      <bottom style="thin">
        <color indexed="64"/>
      </bottom>
      <diagonal/>
    </border>
    <border>
      <left style="thin">
        <color theme="0"/>
      </left>
      <right style="thin">
        <color theme="0"/>
      </right>
      <top style="thin">
        <color indexed="64"/>
      </top>
      <bottom/>
      <diagonal/>
    </border>
    <border>
      <left style="thin">
        <color theme="0"/>
      </left>
      <right style="medium">
        <color indexed="64"/>
      </right>
      <top style="thin">
        <color indexed="64"/>
      </top>
      <bottom/>
      <diagonal/>
    </border>
    <border>
      <left style="medium">
        <color indexed="64"/>
      </left>
      <right style="thin">
        <color theme="0"/>
      </right>
      <top style="thin">
        <color indexed="64"/>
      </top>
      <bottom style="medium">
        <color indexed="64"/>
      </bottom>
      <diagonal/>
    </border>
    <border>
      <left style="thin">
        <color theme="0"/>
      </left>
      <right style="thin">
        <color theme="0"/>
      </right>
      <top/>
      <bottom style="medium">
        <color indexed="64"/>
      </bottom>
      <diagonal/>
    </border>
    <border>
      <left style="thin">
        <color theme="0"/>
      </left>
      <right style="medium">
        <color indexed="64"/>
      </right>
      <top/>
      <bottom style="medium">
        <color indexed="64"/>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medium">
        <color indexed="64"/>
      </bottom>
      <diagonal/>
    </border>
    <border>
      <left style="thin">
        <color rgb="FF000000"/>
      </left>
      <right/>
      <top style="medium">
        <color indexed="64"/>
      </top>
      <bottom style="thin">
        <color rgb="FF000000"/>
      </bottom>
      <diagonal/>
    </border>
    <border>
      <left style="thin">
        <color rgb="FF000000"/>
      </left>
      <right/>
      <top style="thin">
        <color rgb="FF000000"/>
      </top>
      <bottom/>
      <diagonal/>
    </border>
    <border>
      <left/>
      <right/>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thin">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style="thin">
        <color rgb="FF000000"/>
      </top>
      <bottom style="thin">
        <color rgb="FF000000"/>
      </bottom>
      <diagonal/>
    </border>
    <border>
      <left/>
      <right style="thin">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auto="1"/>
      </left>
      <right style="medium">
        <color auto="1"/>
      </right>
      <top style="thin">
        <color auto="1"/>
      </top>
      <bottom/>
      <diagonal/>
    </border>
    <border>
      <left style="medium">
        <color auto="1"/>
      </left>
      <right style="medium">
        <color auto="1"/>
      </right>
      <top style="thin">
        <color auto="1"/>
      </top>
      <bottom style="thin">
        <color auto="1"/>
      </bottom>
      <diagonal/>
    </border>
  </borders>
  <cellStyleXfs count="5">
    <xf numFmtId="0" fontId="0" fillId="0" borderId="0"/>
    <xf numFmtId="0" fontId="21" fillId="0" borderId="0"/>
    <xf numFmtId="0" fontId="20" fillId="0" borderId="0"/>
    <xf numFmtId="9" fontId="21" fillId="0" borderId="0" applyFont="0" applyFill="0" applyBorder="0" applyAlignment="0" applyProtection="0"/>
    <xf numFmtId="0" fontId="37" fillId="0" borderId="0"/>
  </cellStyleXfs>
  <cellXfs count="650">
    <xf numFmtId="0" fontId="0" fillId="0" borderId="0" xfId="0"/>
    <xf numFmtId="0" fontId="0" fillId="2" borderId="0" xfId="0" applyFill="1"/>
    <xf numFmtId="0" fontId="2" fillId="0" borderId="11" xfId="0" applyFont="1" applyBorder="1" applyAlignment="1">
      <alignment horizontal="center" vertical="center" wrapText="1"/>
    </xf>
    <xf numFmtId="0" fontId="2" fillId="4" borderId="11" xfId="0" applyFont="1" applyFill="1" applyBorder="1" applyAlignment="1">
      <alignment horizontal="center" vertical="center" wrapText="1"/>
    </xf>
    <xf numFmtId="0" fontId="5" fillId="3" borderId="3" xfId="0" applyFont="1" applyFill="1" applyBorder="1" applyAlignment="1">
      <alignment horizontal="right" vertical="center" wrapText="1"/>
    </xf>
    <xf numFmtId="0" fontId="3" fillId="3" borderId="1" xfId="0" applyFont="1" applyFill="1" applyBorder="1" applyAlignment="1">
      <alignment horizontal="left" vertical="center" wrapText="1" indent="1"/>
    </xf>
    <xf numFmtId="0" fontId="0" fillId="2" borderId="8" xfId="0" applyFill="1" applyBorder="1" applyProtection="1">
      <protection locked="0"/>
    </xf>
    <xf numFmtId="0" fontId="2" fillId="4" borderId="13" xfId="0" applyFont="1" applyFill="1" applyBorder="1" applyAlignment="1">
      <alignment horizontal="center" vertical="center" wrapText="1"/>
    </xf>
    <xf numFmtId="0" fontId="5" fillId="0" borderId="20" xfId="0" applyFont="1" applyBorder="1" applyAlignment="1">
      <alignment horizontal="center" vertical="center" wrapText="1"/>
    </xf>
    <xf numFmtId="0" fontId="3" fillId="3" borderId="6" xfId="0" applyFont="1" applyFill="1" applyBorder="1"/>
    <xf numFmtId="0" fontId="3" fillId="3" borderId="9" xfId="0" applyFont="1" applyFill="1" applyBorder="1"/>
    <xf numFmtId="0" fontId="0" fillId="3" borderId="8" xfId="0" applyFill="1" applyBorder="1"/>
    <xf numFmtId="0" fontId="0" fillId="3" borderId="10" xfId="0" applyFill="1" applyBorder="1"/>
    <xf numFmtId="1" fontId="3" fillId="3" borderId="20" xfId="0" applyNumberFormat="1" applyFont="1" applyFill="1" applyBorder="1" applyAlignment="1">
      <alignment horizontal="center" vertical="center" wrapText="1"/>
    </xf>
    <xf numFmtId="0" fontId="10" fillId="2" borderId="0" xfId="0" applyFont="1" applyFill="1"/>
    <xf numFmtId="0" fontId="4" fillId="4" borderId="12" xfId="0" applyFont="1" applyFill="1" applyBorder="1" applyAlignment="1">
      <alignment horizontal="center" vertical="center" wrapText="1"/>
    </xf>
    <xf numFmtId="0" fontId="0" fillId="0" borderId="15" xfId="0"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6" fillId="4" borderId="13" xfId="0" applyFont="1" applyFill="1" applyBorder="1" applyAlignment="1" applyProtection="1">
      <alignment horizontal="center" vertical="center" wrapText="1"/>
      <protection locked="0"/>
    </xf>
    <xf numFmtId="0" fontId="2" fillId="0" borderId="11" xfId="0" applyFont="1" applyBorder="1" applyAlignment="1" applyProtection="1">
      <alignment horizontal="center" vertical="center" wrapText="1"/>
      <protection locked="0"/>
    </xf>
    <xf numFmtId="0" fontId="6" fillId="4" borderId="11" xfId="0" applyFont="1" applyFill="1" applyBorder="1" applyAlignment="1" applyProtection="1">
      <alignment horizontal="center" vertical="center" wrapText="1"/>
      <protection locked="0"/>
    </xf>
    <xf numFmtId="0" fontId="6" fillId="4" borderId="18" xfId="0" applyFont="1" applyFill="1" applyBorder="1" applyAlignment="1" applyProtection="1">
      <alignment horizontal="center" vertical="center" wrapText="1"/>
      <protection locked="0"/>
    </xf>
    <xf numFmtId="0" fontId="11" fillId="2" borderId="0" xfId="0" applyFont="1" applyFill="1" applyAlignment="1">
      <alignment horizontal="center"/>
    </xf>
    <xf numFmtId="0" fontId="0" fillId="2" borderId="0" xfId="0" applyFill="1" applyAlignment="1">
      <alignment horizontal="center"/>
    </xf>
    <xf numFmtId="0" fontId="11" fillId="0" borderId="0" xfId="0" applyFont="1" applyAlignment="1">
      <alignment horizontal="center"/>
    </xf>
    <xf numFmtId="0" fontId="12" fillId="4" borderId="14" xfId="0" applyFont="1" applyFill="1" applyBorder="1" applyAlignment="1" applyProtection="1">
      <alignment horizontal="left" vertical="top" wrapText="1"/>
      <protection locked="0"/>
    </xf>
    <xf numFmtId="0" fontId="13" fillId="2" borderId="0" xfId="0" applyFont="1" applyFill="1"/>
    <xf numFmtId="0" fontId="13" fillId="0" borderId="16" xfId="0" applyFont="1" applyBorder="1" applyAlignment="1" applyProtection="1">
      <alignment horizontal="left" vertical="top" wrapText="1"/>
      <protection locked="0"/>
    </xf>
    <xf numFmtId="0" fontId="12" fillId="4" borderId="16" xfId="0" applyFont="1" applyFill="1" applyBorder="1" applyAlignment="1" applyProtection="1">
      <alignment horizontal="left" vertical="top" wrapText="1"/>
      <protection locked="0"/>
    </xf>
    <xf numFmtId="0" fontId="12" fillId="4" borderId="19" xfId="0" applyFont="1" applyFill="1" applyBorder="1" applyAlignment="1" applyProtection="1">
      <alignment horizontal="left" vertical="top" wrapText="1"/>
      <protection locked="0"/>
    </xf>
    <xf numFmtId="0" fontId="13" fillId="0" borderId="19" xfId="0" applyFont="1" applyBorder="1" applyAlignment="1" applyProtection="1">
      <alignment horizontal="left" vertical="top" wrapText="1"/>
      <protection locked="0"/>
    </xf>
    <xf numFmtId="0" fontId="12" fillId="4" borderId="14" xfId="0" applyFont="1" applyFill="1" applyBorder="1" applyAlignment="1" applyProtection="1">
      <alignment horizontal="center" vertical="center" wrapText="1"/>
      <protection locked="0"/>
    </xf>
    <xf numFmtId="0" fontId="13" fillId="0" borderId="16" xfId="0" applyFont="1" applyBorder="1" applyAlignment="1" applyProtection="1">
      <alignment horizontal="center" vertical="center" wrapText="1"/>
      <protection locked="0"/>
    </xf>
    <xf numFmtId="0" fontId="12" fillId="4" borderId="16" xfId="0" applyFont="1" applyFill="1" applyBorder="1" applyAlignment="1" applyProtection="1">
      <alignment horizontal="center" vertical="center" wrapText="1"/>
      <protection locked="0"/>
    </xf>
    <xf numFmtId="0" fontId="12" fillId="4" borderId="14" xfId="0" applyFont="1" applyFill="1" applyBorder="1" applyAlignment="1" applyProtection="1">
      <alignment horizontal="left" wrapText="1"/>
      <protection locked="0"/>
    </xf>
    <xf numFmtId="0" fontId="12" fillId="4" borderId="19" xfId="0" applyFont="1" applyFill="1" applyBorder="1" applyAlignment="1" applyProtection="1">
      <alignment horizontal="left" wrapText="1"/>
      <protection locked="0"/>
    </xf>
    <xf numFmtId="0" fontId="5" fillId="5" borderId="31" xfId="0" applyFont="1" applyFill="1" applyBorder="1" applyAlignment="1">
      <alignment horizontal="center"/>
    </xf>
    <xf numFmtId="14" fontId="0" fillId="2" borderId="8" xfId="0" applyNumberFormat="1" applyFill="1" applyBorder="1" applyProtection="1">
      <protection locked="0"/>
    </xf>
    <xf numFmtId="165" fontId="0" fillId="2" borderId="10" xfId="0" applyNumberFormat="1" applyFill="1" applyBorder="1" applyProtection="1">
      <protection locked="0"/>
    </xf>
    <xf numFmtId="0" fontId="4" fillId="4" borderId="37" xfId="0" applyFont="1" applyFill="1" applyBorder="1" applyAlignment="1">
      <alignment horizontal="center" vertical="center" wrapText="1"/>
    </xf>
    <xf numFmtId="0" fontId="0" fillId="4" borderId="15" xfId="0" applyFill="1" applyBorder="1" applyAlignment="1">
      <alignment horizontal="center" vertical="center" wrapText="1"/>
    </xf>
    <xf numFmtId="0" fontId="13" fillId="4" borderId="16" xfId="0" applyFont="1" applyFill="1" applyBorder="1" applyAlignment="1" applyProtection="1">
      <alignment horizontal="left" vertical="top" wrapText="1"/>
      <protection locked="0"/>
    </xf>
    <xf numFmtId="0" fontId="13" fillId="4" borderId="16" xfId="0" applyFont="1" applyFill="1" applyBorder="1" applyAlignment="1" applyProtection="1">
      <alignment horizontal="left" wrapText="1"/>
      <protection locked="0"/>
    </xf>
    <xf numFmtId="0" fontId="0" fillId="4" borderId="17" xfId="0" applyFill="1" applyBorder="1" applyAlignment="1">
      <alignment horizontal="center" vertical="center" wrapText="1"/>
    </xf>
    <xf numFmtId="0" fontId="13" fillId="4" borderId="19" xfId="0" applyFont="1" applyFill="1" applyBorder="1" applyAlignment="1" applyProtection="1">
      <alignment horizontal="left" vertical="top" wrapText="1"/>
      <protection locked="0"/>
    </xf>
    <xf numFmtId="0" fontId="4" fillId="0" borderId="15" xfId="0" applyFont="1" applyBorder="1" applyAlignment="1">
      <alignment horizontal="center" vertical="center" wrapText="1"/>
    </xf>
    <xf numFmtId="0" fontId="12" fillId="0" borderId="16" xfId="0" applyFont="1" applyBorder="1" applyAlignment="1" applyProtection="1">
      <alignment horizontal="left" vertical="top" wrapText="1"/>
      <protection locked="0"/>
    </xf>
    <xf numFmtId="0" fontId="4" fillId="0" borderId="35" xfId="0" applyFont="1" applyBorder="1" applyAlignment="1">
      <alignment horizontal="center" vertical="center" wrapText="1"/>
    </xf>
    <xf numFmtId="0" fontId="12" fillId="0" borderId="16" xfId="0" applyFont="1" applyBorder="1" applyAlignment="1" applyProtection="1">
      <alignment horizontal="left" wrapText="1"/>
      <protection locked="0"/>
    </xf>
    <xf numFmtId="0" fontId="4" fillId="0" borderId="37" xfId="0" applyFont="1" applyBorder="1" applyAlignment="1">
      <alignment horizontal="center" vertical="center" wrapText="1"/>
    </xf>
    <xf numFmtId="0" fontId="2" fillId="2" borderId="11" xfId="0" applyFont="1" applyFill="1" applyBorder="1" applyAlignment="1">
      <alignment horizontal="center" vertical="center" wrapText="1"/>
    </xf>
    <xf numFmtId="0" fontId="0" fillId="2" borderId="2" xfId="0" applyFill="1" applyBorder="1"/>
    <xf numFmtId="0" fontId="4" fillId="2" borderId="15" xfId="0" applyFont="1" applyFill="1" applyBorder="1" applyAlignment="1">
      <alignment horizontal="center" vertical="center" wrapText="1"/>
    </xf>
    <xf numFmtId="0" fontId="12" fillId="2" borderId="16" xfId="0" applyFont="1" applyFill="1" applyBorder="1" applyAlignment="1" applyProtection="1">
      <alignment horizontal="left" vertical="top" wrapText="1"/>
      <protection locked="0"/>
    </xf>
    <xf numFmtId="0" fontId="13" fillId="2" borderId="2" xfId="0" applyFont="1" applyFill="1" applyBorder="1"/>
    <xf numFmtId="0" fontId="0" fillId="4" borderId="35" xfId="0" applyFill="1" applyBorder="1" applyAlignment="1">
      <alignment horizontal="center" vertical="center" wrapText="1"/>
    </xf>
    <xf numFmtId="0" fontId="0" fillId="2" borderId="40" xfId="0" applyFill="1" applyBorder="1"/>
    <xf numFmtId="0" fontId="4" fillId="2" borderId="17" xfId="0" applyFont="1" applyFill="1" applyBorder="1" applyAlignment="1">
      <alignment horizontal="center" vertical="center" wrapText="1"/>
    </xf>
    <xf numFmtId="0" fontId="0" fillId="7" borderId="15" xfId="0" applyFill="1" applyBorder="1" applyAlignment="1">
      <alignment horizontal="center" vertical="center" wrapText="1"/>
    </xf>
    <xf numFmtId="0" fontId="2" fillId="7" borderId="11" xfId="0" applyFont="1" applyFill="1" applyBorder="1" applyAlignment="1">
      <alignment horizontal="center" vertical="center" wrapText="1"/>
    </xf>
    <xf numFmtId="0" fontId="13" fillId="7" borderId="16" xfId="0" applyFont="1" applyFill="1" applyBorder="1" applyAlignment="1" applyProtection="1">
      <alignment horizontal="left" vertical="top" wrapText="1"/>
      <protection locked="0"/>
    </xf>
    <xf numFmtId="0" fontId="4" fillId="4" borderId="29" xfId="0" applyFont="1" applyFill="1" applyBorder="1" applyAlignment="1">
      <alignment horizontal="center" vertical="center" wrapText="1"/>
    </xf>
    <xf numFmtId="0" fontId="0" fillId="0" borderId="30" xfId="0" applyBorder="1" applyAlignment="1">
      <alignment horizontal="center" vertical="center" wrapText="1"/>
    </xf>
    <xf numFmtId="0" fontId="4" fillId="4" borderId="30" xfId="0" applyFont="1" applyFill="1" applyBorder="1" applyAlignment="1">
      <alignment horizontal="center" vertical="center" wrapText="1"/>
    </xf>
    <xf numFmtId="0" fontId="0" fillId="2" borderId="30" xfId="0" applyFill="1" applyBorder="1" applyAlignment="1">
      <alignment horizontal="center" vertical="center" wrapText="1"/>
    </xf>
    <xf numFmtId="0" fontId="13" fillId="2" borderId="16" xfId="0" applyFont="1" applyFill="1" applyBorder="1" applyAlignment="1" applyProtection="1">
      <alignment horizontal="center" vertical="center" wrapText="1"/>
      <protection locked="0"/>
    </xf>
    <xf numFmtId="0" fontId="6" fillId="2" borderId="11" xfId="0" applyFont="1" applyFill="1" applyBorder="1" applyAlignment="1" applyProtection="1">
      <alignment horizontal="center" vertical="center" wrapText="1"/>
      <protection locked="0"/>
    </xf>
    <xf numFmtId="0" fontId="12" fillId="0" borderId="19" xfId="0" applyFont="1" applyBorder="1" applyAlignment="1" applyProtection="1">
      <alignment horizontal="center" vertical="center" wrapText="1"/>
      <protection locked="0"/>
    </xf>
    <xf numFmtId="0" fontId="2" fillId="0" borderId="18" xfId="0" applyFont="1" applyBorder="1" applyAlignment="1">
      <alignment horizontal="center" vertical="center" wrapText="1"/>
    </xf>
    <xf numFmtId="0" fontId="6" fillId="2" borderId="18" xfId="0" applyFont="1" applyFill="1" applyBorder="1" applyAlignment="1" applyProtection="1">
      <alignment horizontal="center" vertical="center" wrapText="1"/>
      <protection locked="0"/>
    </xf>
    <xf numFmtId="0" fontId="2" fillId="4" borderId="18" xfId="0" applyFont="1" applyFill="1" applyBorder="1" applyAlignment="1">
      <alignment horizontal="center" vertical="center" wrapText="1"/>
    </xf>
    <xf numFmtId="0" fontId="13" fillId="4" borderId="14" xfId="0" applyFont="1" applyFill="1" applyBorder="1" applyAlignment="1" applyProtection="1">
      <alignment horizontal="left" vertical="top" wrapText="1"/>
      <protection locked="0"/>
    </xf>
    <xf numFmtId="0" fontId="12" fillId="4" borderId="16" xfId="0" applyFont="1" applyFill="1" applyBorder="1" applyAlignment="1" applyProtection="1">
      <alignment horizontal="left" wrapText="1"/>
      <protection locked="0"/>
    </xf>
    <xf numFmtId="0" fontId="0" fillId="4" borderId="12" xfId="0" applyFill="1" applyBorder="1" applyAlignment="1">
      <alignment horizontal="center" vertical="center" wrapText="1"/>
    </xf>
    <xf numFmtId="0" fontId="13" fillId="4" borderId="16" xfId="0" applyFont="1" applyFill="1" applyBorder="1" applyAlignment="1" applyProtection="1">
      <alignment horizontal="center" vertical="center" wrapText="1"/>
      <protection locked="0"/>
    </xf>
    <xf numFmtId="0" fontId="4" fillId="0" borderId="17" xfId="0" applyFont="1" applyBorder="1" applyAlignment="1">
      <alignment horizontal="center" vertical="center" wrapText="1"/>
    </xf>
    <xf numFmtId="0" fontId="6" fillId="7" borderId="11" xfId="0" applyFont="1" applyFill="1" applyBorder="1" applyAlignment="1" applyProtection="1">
      <alignment horizontal="center" vertical="center" wrapText="1"/>
      <protection locked="0"/>
    </xf>
    <xf numFmtId="0" fontId="2" fillId="2" borderId="18" xfId="0" applyFont="1" applyFill="1" applyBorder="1" applyAlignment="1">
      <alignment horizontal="center" vertical="center" wrapText="1"/>
    </xf>
    <xf numFmtId="0" fontId="6" fillId="4" borderId="38" xfId="0" applyFont="1"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12" fillId="0" borderId="42" xfId="0" applyFont="1" applyBorder="1" applyAlignment="1" applyProtection="1">
      <alignment horizontal="left" vertical="top" wrapText="1"/>
      <protection locked="0"/>
    </xf>
    <xf numFmtId="0" fontId="6" fillId="7" borderId="18" xfId="0" applyFont="1" applyFill="1" applyBorder="1" applyAlignment="1" applyProtection="1">
      <alignment horizontal="center" vertical="center" wrapText="1"/>
      <protection locked="0"/>
    </xf>
    <xf numFmtId="0" fontId="2" fillId="7" borderId="18" xfId="0" applyFont="1" applyFill="1" applyBorder="1" applyAlignment="1">
      <alignment horizontal="center" vertical="center" wrapText="1"/>
    </xf>
    <xf numFmtId="0" fontId="13" fillId="7" borderId="19" xfId="0" applyFont="1" applyFill="1" applyBorder="1" applyAlignment="1" applyProtection="1">
      <alignment horizontal="left" vertical="top" wrapText="1"/>
      <protection locked="0"/>
    </xf>
    <xf numFmtId="0" fontId="0" fillId="7" borderId="17" xfId="0" applyFill="1" applyBorder="1" applyAlignment="1">
      <alignment horizontal="center" vertical="center" wrapText="1"/>
    </xf>
    <xf numFmtId="0" fontId="6" fillId="2" borderId="38" xfId="0" applyFont="1" applyFill="1" applyBorder="1" applyAlignment="1" applyProtection="1">
      <alignment horizontal="center" vertical="center" wrapText="1"/>
      <protection locked="0"/>
    </xf>
    <xf numFmtId="0" fontId="2" fillId="0" borderId="38" xfId="0" applyFont="1" applyBorder="1" applyAlignment="1">
      <alignment horizontal="center" vertical="center" wrapText="1"/>
    </xf>
    <xf numFmtId="0" fontId="12" fillId="7" borderId="42" xfId="0" applyFont="1" applyFill="1" applyBorder="1" applyAlignment="1" applyProtection="1">
      <alignment horizontal="left" vertical="top" wrapText="1"/>
      <protection locked="0"/>
    </xf>
    <xf numFmtId="0" fontId="0" fillId="0" borderId="17" xfId="0" applyBorder="1" applyAlignment="1">
      <alignment horizontal="center" vertical="center" wrapText="1"/>
    </xf>
    <xf numFmtId="0" fontId="6" fillId="0" borderId="18" xfId="0" applyFont="1" applyBorder="1" applyAlignment="1" applyProtection="1">
      <alignment horizontal="center" vertical="center" wrapText="1"/>
      <protection locked="0"/>
    </xf>
    <xf numFmtId="0" fontId="12" fillId="0" borderId="42" xfId="0" applyFont="1" applyBorder="1" applyAlignment="1" applyProtection="1">
      <alignment horizontal="center" vertical="center" wrapText="1"/>
      <protection locked="0"/>
    </xf>
    <xf numFmtId="0" fontId="13" fillId="7" borderId="19" xfId="0" applyFont="1" applyFill="1" applyBorder="1" applyAlignment="1" applyProtection="1">
      <alignment horizontal="center" vertical="center" wrapText="1"/>
      <protection locked="0"/>
    </xf>
    <xf numFmtId="0" fontId="0" fillId="0" borderId="37" xfId="0" applyBorder="1" applyAlignment="1">
      <alignment horizontal="center" vertical="center" wrapText="1"/>
    </xf>
    <xf numFmtId="0" fontId="0" fillId="4" borderId="37" xfId="0" applyFill="1" applyBorder="1" applyAlignment="1">
      <alignment horizontal="center" vertical="center" wrapText="1"/>
    </xf>
    <xf numFmtId="1" fontId="3" fillId="3" borderId="1" xfId="0" applyNumberFormat="1" applyFont="1" applyFill="1" applyBorder="1" applyAlignment="1">
      <alignment horizontal="left" vertical="center" wrapText="1" indent="1"/>
    </xf>
    <xf numFmtId="0" fontId="15" fillId="0" borderId="11" xfId="0" applyFont="1" applyBorder="1" applyAlignment="1">
      <alignment horizontal="center" vertical="center" wrapText="1"/>
    </xf>
    <xf numFmtId="0" fontId="14" fillId="4" borderId="11" xfId="0" applyFont="1" applyFill="1" applyBorder="1" applyAlignment="1">
      <alignment horizontal="center" vertical="center" wrapText="1"/>
    </xf>
    <xf numFmtId="0" fontId="14" fillId="4" borderId="13" xfId="0" applyFont="1" applyFill="1" applyBorder="1" applyAlignment="1">
      <alignment horizontal="center" vertical="center" wrapText="1"/>
    </xf>
    <xf numFmtId="0" fontId="1" fillId="0" borderId="44" xfId="0" applyFont="1" applyBorder="1"/>
    <xf numFmtId="0" fontId="1" fillId="0" borderId="21" xfId="0" applyFont="1" applyBorder="1"/>
    <xf numFmtId="0" fontId="0" fillId="0" borderId="11" xfId="0" applyBorder="1"/>
    <xf numFmtId="0" fontId="0" fillId="0" borderId="36" xfId="0" applyBorder="1"/>
    <xf numFmtId="0" fontId="14" fillId="4" borderId="18" xfId="0" applyFont="1" applyFill="1" applyBorder="1" applyAlignment="1">
      <alignment horizontal="center" vertical="center" wrapText="1"/>
    </xf>
    <xf numFmtId="0" fontId="4" fillId="4" borderId="35" xfId="0" applyFont="1" applyFill="1" applyBorder="1" applyAlignment="1">
      <alignment horizontal="center" vertical="center" wrapText="1"/>
    </xf>
    <xf numFmtId="0" fontId="6" fillId="4" borderId="36" xfId="0" applyFont="1" applyFill="1" applyBorder="1" applyAlignment="1" applyProtection="1">
      <alignment horizontal="center" vertical="center" wrapText="1"/>
      <protection locked="0"/>
    </xf>
    <xf numFmtId="0" fontId="1" fillId="2" borderId="0" xfId="0" applyFont="1" applyFill="1"/>
    <xf numFmtId="0" fontId="16" fillId="2" borderId="0" xfId="0" applyFont="1" applyFill="1"/>
    <xf numFmtId="0" fontId="1" fillId="2" borderId="0" xfId="0" applyFont="1" applyFill="1" applyAlignment="1">
      <alignment horizontal="center"/>
    </xf>
    <xf numFmtId="0" fontId="17" fillId="2" borderId="0" xfId="0" applyFont="1" applyFill="1"/>
    <xf numFmtId="0" fontId="18" fillId="2" borderId="0" xfId="0" applyFont="1" applyFill="1"/>
    <xf numFmtId="0" fontId="18" fillId="2" borderId="19" xfId="0" applyFont="1" applyFill="1" applyBorder="1" applyAlignment="1" applyProtection="1">
      <alignment horizontal="left" vertical="top" wrapText="1"/>
      <protection locked="0"/>
    </xf>
    <xf numFmtId="0" fontId="18" fillId="4" borderId="14" xfId="0" applyFont="1" applyFill="1" applyBorder="1" applyAlignment="1" applyProtection="1">
      <alignment horizontal="left" vertical="top" wrapText="1"/>
      <protection locked="0"/>
    </xf>
    <xf numFmtId="0" fontId="18" fillId="4" borderId="14" xfId="0" applyFont="1" applyFill="1" applyBorder="1" applyAlignment="1" applyProtection="1">
      <alignment horizontal="center" vertical="center" wrapText="1"/>
      <protection locked="0"/>
    </xf>
    <xf numFmtId="0" fontId="18" fillId="4" borderId="16" xfId="0" applyFont="1" applyFill="1" applyBorder="1" applyAlignment="1" applyProtection="1">
      <alignment horizontal="left" vertical="top" wrapText="1"/>
      <protection locked="0"/>
    </xf>
    <xf numFmtId="0" fontId="12" fillId="4" borderId="42" xfId="0" applyFont="1" applyFill="1" applyBorder="1" applyAlignment="1" applyProtection="1">
      <alignment horizontal="center" vertical="center" wrapText="1"/>
      <protection locked="0"/>
    </xf>
    <xf numFmtId="0" fontId="2" fillId="4" borderId="36" xfId="0" applyFont="1" applyFill="1" applyBorder="1" applyAlignment="1">
      <alignment horizontal="center" vertical="center" wrapText="1"/>
    </xf>
    <xf numFmtId="0" fontId="18" fillId="4" borderId="50" xfId="0" applyFont="1" applyFill="1" applyBorder="1" applyAlignment="1" applyProtection="1">
      <alignment horizontal="left" vertical="top" wrapText="1"/>
      <protection locked="0"/>
    </xf>
    <xf numFmtId="0" fontId="4" fillId="2" borderId="35" xfId="0" applyFont="1" applyFill="1" applyBorder="1" applyAlignment="1">
      <alignment horizontal="center" vertical="center" wrapText="1"/>
    </xf>
    <xf numFmtId="0" fontId="6" fillId="2" borderId="36" xfId="0" applyFont="1" applyFill="1" applyBorder="1" applyAlignment="1" applyProtection="1">
      <alignment horizontal="center" vertical="center" wrapText="1"/>
      <protection locked="0"/>
    </xf>
    <xf numFmtId="0" fontId="2" fillId="2" borderId="36" xfId="0" applyFont="1" applyFill="1" applyBorder="1" applyAlignment="1">
      <alignment horizontal="center" vertical="center" wrapText="1"/>
    </xf>
    <xf numFmtId="0" fontId="18" fillId="2" borderId="50" xfId="0" applyFont="1" applyFill="1" applyBorder="1" applyAlignment="1" applyProtection="1">
      <alignment horizontal="left" vertical="top" wrapText="1"/>
      <protection locked="0"/>
    </xf>
    <xf numFmtId="0" fontId="24" fillId="0" borderId="0" xfId="1" applyFont="1" applyAlignment="1">
      <alignment horizontal="center" vertical="center" wrapText="1"/>
    </xf>
    <xf numFmtId="0" fontId="22" fillId="0" borderId="0" xfId="1" applyFont="1" applyAlignment="1">
      <alignment horizontal="center" vertical="center" wrapText="1"/>
    </xf>
    <xf numFmtId="0" fontId="22" fillId="0" borderId="0" xfId="1" applyFont="1" applyAlignment="1">
      <alignment vertical="top" wrapText="1"/>
    </xf>
    <xf numFmtId="0" fontId="22" fillId="0" borderId="0" xfId="1" applyFont="1" applyAlignment="1">
      <alignment horizontal="left" vertical="top" wrapText="1"/>
    </xf>
    <xf numFmtId="0" fontId="23" fillId="0" borderId="0" xfId="1" applyFont="1" applyAlignment="1">
      <alignment horizontal="center" vertical="top" wrapText="1"/>
    </xf>
    <xf numFmtId="0" fontId="22" fillId="0" borderId="11" xfId="1" applyFont="1" applyBorder="1" applyAlignment="1">
      <alignment horizontal="center" vertical="center" wrapText="1"/>
    </xf>
    <xf numFmtId="0" fontId="22" fillId="0" borderId="0" xfId="1" applyFont="1" applyAlignment="1">
      <alignment vertical="center" wrapText="1"/>
    </xf>
    <xf numFmtId="0" fontId="22" fillId="0" borderId="0" xfId="1" applyFont="1" applyAlignment="1">
      <alignment horizontal="left" vertical="center" wrapText="1" indent="1"/>
    </xf>
    <xf numFmtId="0" fontId="22" fillId="0" borderId="36" xfId="1" applyFont="1" applyBorder="1" applyAlignment="1">
      <alignment horizontal="center" vertical="center" wrapText="1"/>
    </xf>
    <xf numFmtId="0" fontId="22" fillId="0" borderId="38" xfId="1" applyFont="1" applyBorder="1" applyAlignment="1">
      <alignment horizontal="center" vertical="center" wrapText="1"/>
    </xf>
    <xf numFmtId="0" fontId="22" fillId="0" borderId="18" xfId="1" applyFont="1" applyBorder="1" applyAlignment="1">
      <alignment horizontal="center" vertical="center" wrapText="1"/>
    </xf>
    <xf numFmtId="0" fontId="22" fillId="0" borderId="0" xfId="1" applyFont="1" applyAlignment="1">
      <alignment horizontal="center" vertical="top" wrapText="1"/>
    </xf>
    <xf numFmtId="0" fontId="22" fillId="0" borderId="50" xfId="1" applyFont="1" applyBorder="1" applyAlignment="1">
      <alignment horizontal="center" vertical="center" wrapText="1"/>
    </xf>
    <xf numFmtId="0" fontId="22" fillId="0" borderId="16" xfId="1" applyFont="1" applyBorder="1" applyAlignment="1">
      <alignment horizontal="center" vertical="center" wrapText="1"/>
    </xf>
    <xf numFmtId="0" fontId="22" fillId="0" borderId="42" xfId="1" applyFont="1" applyBorder="1" applyAlignment="1">
      <alignment horizontal="center" vertical="center" wrapText="1"/>
    </xf>
    <xf numFmtId="0" fontId="22" fillId="0" borderId="19" xfId="1" applyFont="1" applyBorder="1" applyAlignment="1">
      <alignment horizontal="center" vertical="center" wrapText="1"/>
    </xf>
    <xf numFmtId="14" fontId="22" fillId="0" borderId="36" xfId="1" applyNumberFormat="1" applyFont="1" applyBorder="1" applyAlignment="1">
      <alignment horizontal="center" vertical="center" wrapText="1"/>
    </xf>
    <xf numFmtId="0" fontId="22" fillId="0" borderId="35" xfId="1" applyFont="1" applyBorder="1" applyAlignment="1">
      <alignment horizontal="center" vertical="center" wrapText="1"/>
    </xf>
    <xf numFmtId="0" fontId="22" fillId="0" borderId="15" xfId="1" applyFont="1" applyBorder="1" applyAlignment="1">
      <alignment horizontal="center" vertical="center" wrapText="1"/>
    </xf>
    <xf numFmtId="0" fontId="22" fillId="0" borderId="37" xfId="1" applyFont="1" applyBorder="1" applyAlignment="1">
      <alignment horizontal="center" vertical="center" wrapText="1"/>
    </xf>
    <xf numFmtId="0" fontId="22" fillId="0" borderId="17" xfId="1" applyFont="1" applyBorder="1" applyAlignment="1">
      <alignment horizontal="center" vertical="center" wrapText="1"/>
    </xf>
    <xf numFmtId="0" fontId="22" fillId="9" borderId="11" xfId="1" applyFont="1" applyFill="1" applyBorder="1" applyAlignment="1">
      <alignment horizontal="center" vertical="center" wrapText="1"/>
    </xf>
    <xf numFmtId="0" fontId="24" fillId="9" borderId="56" xfId="1" applyFont="1" applyFill="1" applyBorder="1" applyAlignment="1">
      <alignment horizontal="left" vertical="top" wrapText="1"/>
    </xf>
    <xf numFmtId="0" fontId="24" fillId="9" borderId="57" xfId="1" applyFont="1" applyFill="1" applyBorder="1" applyAlignment="1">
      <alignment horizontal="left" vertical="top" wrapText="1"/>
    </xf>
    <xf numFmtId="0" fontId="24" fillId="9" borderId="58" xfId="1" applyFont="1" applyFill="1" applyBorder="1" applyAlignment="1">
      <alignment horizontal="left" vertical="top" wrapText="1"/>
    </xf>
    <xf numFmtId="0" fontId="24" fillId="9" borderId="0" xfId="1" applyFont="1" applyFill="1" applyAlignment="1">
      <alignment horizontal="left" vertical="top" wrapText="1"/>
    </xf>
    <xf numFmtId="0" fontId="24" fillId="9" borderId="59" xfId="1" applyFont="1" applyFill="1" applyBorder="1" applyAlignment="1">
      <alignment horizontal="left" vertical="top" wrapText="1"/>
    </xf>
    <xf numFmtId="0" fontId="24" fillId="9" borderId="26" xfId="1" applyFont="1" applyFill="1" applyBorder="1" applyAlignment="1">
      <alignment horizontal="left" vertical="top" wrapText="1"/>
    </xf>
    <xf numFmtId="0" fontId="22" fillId="0" borderId="26" xfId="1" applyFont="1" applyBorder="1" applyAlignment="1">
      <alignment horizontal="center" vertical="center" wrapText="1"/>
    </xf>
    <xf numFmtId="0" fontId="22" fillId="9" borderId="38" xfId="1" applyFont="1" applyFill="1" applyBorder="1" applyAlignment="1">
      <alignment horizontal="center" vertical="center" wrapText="1"/>
    </xf>
    <xf numFmtId="0" fontId="24" fillId="0" borderId="56" xfId="1" applyFont="1" applyBorder="1" applyAlignment="1">
      <alignment horizontal="left" vertical="top" wrapText="1"/>
    </xf>
    <xf numFmtId="0" fontId="24" fillId="0" borderId="57" xfId="1" applyFont="1" applyBorder="1" applyAlignment="1">
      <alignment horizontal="left" vertical="top" wrapText="1"/>
    </xf>
    <xf numFmtId="0" fontId="24" fillId="0" borderId="58" xfId="1" applyFont="1" applyBorder="1" applyAlignment="1">
      <alignment horizontal="left" vertical="top" wrapText="1"/>
    </xf>
    <xf numFmtId="0" fontId="24" fillId="9" borderId="9" xfId="1" applyFont="1" applyFill="1" applyBorder="1" applyAlignment="1">
      <alignment horizontal="left" vertical="top" wrapText="1"/>
    </xf>
    <xf numFmtId="0" fontId="24" fillId="9" borderId="46" xfId="1" applyFont="1" applyFill="1" applyBorder="1" applyAlignment="1">
      <alignment horizontal="left" vertical="top" wrapText="1"/>
    </xf>
    <xf numFmtId="0" fontId="24" fillId="9" borderId="10" xfId="1" applyFont="1" applyFill="1" applyBorder="1" applyAlignment="1">
      <alignment horizontal="left" vertical="top" wrapText="1"/>
    </xf>
    <xf numFmtId="0" fontId="22" fillId="9" borderId="18" xfId="1" applyFont="1" applyFill="1" applyBorder="1" applyAlignment="1">
      <alignment horizontal="center" vertical="center" wrapText="1"/>
    </xf>
    <xf numFmtId="9" fontId="22" fillId="0" borderId="0" xfId="1" applyNumberFormat="1" applyFont="1" applyAlignment="1">
      <alignment vertical="top" wrapText="1"/>
    </xf>
    <xf numFmtId="0" fontId="24" fillId="0" borderId="51" xfId="1" applyFont="1" applyBorder="1" applyAlignment="1">
      <alignment horizontal="center" vertical="center" wrapText="1"/>
    </xf>
    <xf numFmtId="0" fontId="24" fillId="0" borderId="26" xfId="1" applyFont="1" applyBorder="1" applyAlignment="1">
      <alignment horizontal="center" vertical="center" wrapText="1"/>
    </xf>
    <xf numFmtId="0" fontId="22" fillId="0" borderId="2" xfId="1" applyFont="1" applyBorder="1" applyAlignment="1">
      <alignment horizontal="left" vertical="center" wrapText="1"/>
    </xf>
    <xf numFmtId="0" fontId="24" fillId="0" borderId="2" xfId="1" applyFont="1" applyBorder="1" applyAlignment="1">
      <alignment horizontal="center" vertical="center" wrapText="1"/>
    </xf>
    <xf numFmtId="0" fontId="24" fillId="0" borderId="0" xfId="1" applyFont="1" applyAlignment="1">
      <alignment vertical="center" wrapText="1"/>
    </xf>
    <xf numFmtId="0" fontId="22" fillId="0" borderId="26" xfId="1" applyFont="1" applyBorder="1" applyAlignment="1">
      <alignment horizontal="left" vertical="center" wrapText="1"/>
    </xf>
    <xf numFmtId="0" fontId="22" fillId="0" borderId="0" xfId="1" applyFont="1" applyAlignment="1">
      <alignment horizontal="left" vertical="center" wrapText="1"/>
    </xf>
    <xf numFmtId="9" fontId="24" fillId="0" borderId="51" xfId="3" applyFont="1" applyBorder="1" applyAlignment="1">
      <alignment horizontal="center" vertical="center" wrapText="1"/>
    </xf>
    <xf numFmtId="0" fontId="29" fillId="9" borderId="51" xfId="1" applyFont="1" applyFill="1" applyBorder="1" applyAlignment="1">
      <alignment horizontal="center" vertical="center" wrapText="1"/>
    </xf>
    <xf numFmtId="0" fontId="24" fillId="9" borderId="51" xfId="1" applyFont="1" applyFill="1" applyBorder="1" applyAlignment="1">
      <alignment horizontal="center" vertical="center" wrapText="1"/>
    </xf>
    <xf numFmtId="9" fontId="24" fillId="9" borderId="51" xfId="3" applyFont="1" applyFill="1" applyBorder="1" applyAlignment="1">
      <alignment horizontal="center" vertical="center" wrapText="1"/>
    </xf>
    <xf numFmtId="9" fontId="24" fillId="0" borderId="51" xfId="3" applyFont="1" applyFill="1" applyBorder="1" applyAlignment="1">
      <alignment horizontal="center" vertical="center" wrapText="1"/>
    </xf>
    <xf numFmtId="0" fontId="24" fillId="0" borderId="0" xfId="1" applyFont="1" applyAlignment="1">
      <alignment vertical="top" wrapText="1"/>
    </xf>
    <xf numFmtId="0" fontId="24" fillId="0" borderId="59" xfId="1" applyFont="1" applyBorder="1" applyAlignment="1">
      <alignment vertical="top" wrapText="1"/>
    </xf>
    <xf numFmtId="0" fontId="22" fillId="9" borderId="36" xfId="1" applyFont="1" applyFill="1" applyBorder="1" applyAlignment="1">
      <alignment horizontal="center" vertical="center" wrapText="1"/>
    </xf>
    <xf numFmtId="0" fontId="22" fillId="9" borderId="12" xfId="1" applyFont="1" applyFill="1" applyBorder="1" applyAlignment="1">
      <alignment horizontal="center" vertical="center" wrapText="1"/>
    </xf>
    <xf numFmtId="0" fontId="22" fillId="9" borderId="14" xfId="1" applyFont="1" applyFill="1" applyBorder="1" applyAlignment="1">
      <alignment horizontal="center" vertical="center" wrapText="1"/>
    </xf>
    <xf numFmtId="0" fontId="22" fillId="9" borderId="15" xfId="1" applyFont="1" applyFill="1" applyBorder="1" applyAlignment="1">
      <alignment horizontal="center" vertical="center" wrapText="1"/>
    </xf>
    <xf numFmtId="0" fontId="22" fillId="9" borderId="16" xfId="1" applyFont="1" applyFill="1" applyBorder="1" applyAlignment="1">
      <alignment horizontal="center" vertical="center" wrapText="1"/>
    </xf>
    <xf numFmtId="0" fontId="22" fillId="9" borderId="17" xfId="1" applyFont="1" applyFill="1" applyBorder="1" applyAlignment="1">
      <alignment horizontal="center" vertical="center" wrapText="1"/>
    </xf>
    <xf numFmtId="0" fontId="22" fillId="9" borderId="19" xfId="1" applyFont="1" applyFill="1" applyBorder="1" applyAlignment="1">
      <alignment horizontal="center" vertical="center" wrapText="1"/>
    </xf>
    <xf numFmtId="0" fontId="22" fillId="0" borderId="12" xfId="1" applyFont="1" applyBorder="1" applyAlignment="1">
      <alignment horizontal="center" vertical="center" wrapText="1"/>
    </xf>
    <xf numFmtId="0" fontId="22" fillId="0" borderId="14" xfId="1" applyFont="1" applyBorder="1" applyAlignment="1">
      <alignment horizontal="center" vertical="center" wrapText="1"/>
    </xf>
    <xf numFmtId="0" fontId="24" fillId="11" borderId="15" xfId="1" applyFont="1" applyFill="1" applyBorder="1" applyAlignment="1">
      <alignment horizontal="center" vertical="center" wrapText="1"/>
    </xf>
    <xf numFmtId="0" fontId="24" fillId="10" borderId="17" xfId="1" applyFont="1" applyFill="1" applyBorder="1" applyAlignment="1">
      <alignment horizontal="center" vertical="center" wrapText="1"/>
    </xf>
    <xf numFmtId="0" fontId="23" fillId="12" borderId="44" xfId="1" applyFont="1" applyFill="1" applyBorder="1" applyAlignment="1">
      <alignment horizontal="center" vertical="center" wrapText="1"/>
    </xf>
    <xf numFmtId="0" fontId="28" fillId="12" borderId="3" xfId="1" applyFont="1" applyFill="1" applyBorder="1" applyAlignment="1">
      <alignment horizontal="center" vertical="center" wrapText="1"/>
    </xf>
    <xf numFmtId="0" fontId="29" fillId="0" borderId="51" xfId="1" applyFont="1" applyBorder="1" applyAlignment="1">
      <alignment horizontal="center" vertical="center" wrapText="1"/>
    </xf>
    <xf numFmtId="0" fontId="23" fillId="12" borderId="1" xfId="1" applyFont="1" applyFill="1" applyBorder="1" applyAlignment="1">
      <alignment horizontal="center" vertical="center" wrapText="1"/>
    </xf>
    <xf numFmtId="0" fontId="22" fillId="9" borderId="37" xfId="1" applyFont="1" applyFill="1" applyBorder="1" applyAlignment="1">
      <alignment horizontal="center" vertical="center" wrapText="1"/>
    </xf>
    <xf numFmtId="0" fontId="22" fillId="9" borderId="42" xfId="1" applyFont="1" applyFill="1" applyBorder="1" applyAlignment="1">
      <alignment horizontal="center" vertical="center" wrapText="1"/>
    </xf>
    <xf numFmtId="0" fontId="26" fillId="9" borderId="68" xfId="0" applyFont="1" applyFill="1" applyBorder="1" applyAlignment="1">
      <alignment horizontal="left" vertical="center" wrapText="1"/>
    </xf>
    <xf numFmtId="0" fontId="26" fillId="0" borderId="67" xfId="0" applyFont="1" applyBorder="1" applyAlignment="1">
      <alignment horizontal="left" vertical="center" wrapText="1"/>
    </xf>
    <xf numFmtId="0" fontId="26" fillId="9" borderId="67" xfId="0" applyFont="1" applyFill="1" applyBorder="1" applyAlignment="1">
      <alignment horizontal="left" vertical="center" wrapText="1"/>
    </xf>
    <xf numFmtId="0" fontId="26" fillId="9" borderId="69" xfId="0" applyFont="1" applyFill="1" applyBorder="1" applyAlignment="1">
      <alignment horizontal="left" vertical="center" wrapText="1"/>
    </xf>
    <xf numFmtId="0" fontId="24" fillId="9" borderId="6" xfId="1" applyFont="1" applyFill="1" applyBorder="1" applyAlignment="1">
      <alignment horizontal="left" vertical="top" wrapText="1"/>
    </xf>
    <xf numFmtId="0" fontId="24" fillId="9" borderId="7" xfId="1" applyFont="1" applyFill="1" applyBorder="1" applyAlignment="1">
      <alignment horizontal="left" vertical="top" wrapText="1"/>
    </xf>
    <xf numFmtId="0" fontId="24" fillId="9" borderId="8" xfId="1" applyFont="1" applyFill="1" applyBorder="1" applyAlignment="1">
      <alignment horizontal="left" vertical="top" wrapText="1"/>
    </xf>
    <xf numFmtId="0" fontId="23" fillId="12" borderId="51" xfId="1" applyFont="1" applyFill="1" applyBorder="1" applyAlignment="1">
      <alignment horizontal="left" vertical="center" wrapText="1" indent="77"/>
    </xf>
    <xf numFmtId="0" fontId="23" fillId="12" borderId="51" xfId="1" applyFont="1" applyFill="1" applyBorder="1" applyAlignment="1">
      <alignment horizontal="center" vertical="center" wrapText="1"/>
    </xf>
    <xf numFmtId="164" fontId="23" fillId="12" borderId="51" xfId="3" applyNumberFormat="1" applyFont="1" applyFill="1" applyBorder="1" applyAlignment="1">
      <alignment horizontal="center" vertical="center" wrapText="1"/>
    </xf>
    <xf numFmtId="0" fontId="26" fillId="9" borderId="68" xfId="0" applyFont="1" applyFill="1" applyBorder="1" applyAlignment="1">
      <alignment vertical="center" wrapText="1"/>
    </xf>
    <xf numFmtId="0" fontId="26" fillId="0" borderId="67" xfId="0" applyFont="1" applyBorder="1" applyAlignment="1">
      <alignment vertical="center" wrapText="1"/>
    </xf>
    <xf numFmtId="0" fontId="26" fillId="9" borderId="67" xfId="0" applyFont="1" applyFill="1" applyBorder="1" applyAlignment="1">
      <alignment vertical="center" wrapText="1"/>
    </xf>
    <xf numFmtId="0" fontId="26" fillId="9" borderId="71" xfId="0" applyFont="1" applyFill="1" applyBorder="1" applyAlignment="1">
      <alignment vertical="center" wrapText="1"/>
    </xf>
    <xf numFmtId="0" fontId="26" fillId="0" borderId="69" xfId="0" applyFont="1" applyBorder="1" applyAlignment="1">
      <alignment horizontal="left" vertical="center" wrapText="1"/>
    </xf>
    <xf numFmtId="0" fontId="26" fillId="0" borderId="70" xfId="0" applyFont="1" applyBorder="1" applyAlignment="1">
      <alignment vertical="center" wrapText="1"/>
    </xf>
    <xf numFmtId="0" fontId="26" fillId="9" borderId="69" xfId="0" applyFont="1" applyFill="1" applyBorder="1" applyAlignment="1">
      <alignment vertical="center" wrapText="1"/>
    </xf>
    <xf numFmtId="0" fontId="26" fillId="0" borderId="68" xfId="0" applyFont="1" applyBorder="1" applyAlignment="1">
      <alignment vertical="center" wrapText="1"/>
    </xf>
    <xf numFmtId="0" fontId="26" fillId="0" borderId="69" xfId="0" applyFont="1" applyBorder="1" applyAlignment="1">
      <alignment vertical="center" wrapText="1"/>
    </xf>
    <xf numFmtId="0" fontId="23" fillId="12" borderId="12" xfId="1" applyFont="1" applyFill="1" applyBorder="1" applyAlignment="1">
      <alignment horizontal="center" vertical="center" wrapText="1"/>
    </xf>
    <xf numFmtId="0" fontId="23" fillId="12" borderId="17" xfId="1" applyFont="1" applyFill="1" applyBorder="1" applyAlignment="1">
      <alignment horizontal="center" vertical="center" wrapText="1"/>
    </xf>
    <xf numFmtId="0" fontId="32" fillId="9" borderId="67" xfId="0" applyFont="1" applyFill="1" applyBorder="1" applyAlignment="1">
      <alignment vertical="center" wrapText="1"/>
    </xf>
    <xf numFmtId="0" fontId="32" fillId="0" borderId="68" xfId="0" applyFont="1" applyBorder="1" applyAlignment="1">
      <alignment horizontal="left" vertical="center" wrapText="1"/>
    </xf>
    <xf numFmtId="0" fontId="32" fillId="0" borderId="11" xfId="1" applyFont="1" applyBorder="1" applyAlignment="1">
      <alignment horizontal="center" vertical="center" wrapText="1"/>
    </xf>
    <xf numFmtId="0" fontId="32" fillId="0" borderId="67" xfId="0" applyFont="1" applyBorder="1" applyAlignment="1">
      <alignment horizontal="left" vertical="center" wrapText="1"/>
    </xf>
    <xf numFmtId="0" fontId="32" fillId="9" borderId="11" xfId="1" applyFont="1" applyFill="1" applyBorder="1" applyAlignment="1">
      <alignment horizontal="center" vertical="center" wrapText="1"/>
    </xf>
    <xf numFmtId="0" fontId="32" fillId="9" borderId="67" xfId="0" applyFont="1" applyFill="1" applyBorder="1" applyAlignment="1">
      <alignment horizontal="left" vertical="center" wrapText="1"/>
    </xf>
    <xf numFmtId="0" fontId="32" fillId="0" borderId="69" xfId="0" applyFont="1" applyBorder="1" applyAlignment="1">
      <alignment vertical="center" wrapText="1"/>
    </xf>
    <xf numFmtId="0" fontId="24" fillId="13" borderId="15" xfId="1" applyFont="1" applyFill="1" applyBorder="1" applyAlignment="1">
      <alignment horizontal="center" vertical="center" wrapText="1"/>
    </xf>
    <xf numFmtId="0" fontId="23" fillId="0" borderId="0" xfId="1" applyFont="1" applyAlignment="1">
      <alignment horizontal="center" vertical="center" wrapText="1"/>
    </xf>
    <xf numFmtId="0" fontId="22" fillId="0" borderId="0" xfId="1" applyFont="1" applyAlignment="1">
      <alignment horizontal="right" vertical="center" wrapText="1"/>
    </xf>
    <xf numFmtId="0" fontId="24" fillId="0" borderId="0" xfId="1" applyFont="1" applyAlignment="1">
      <alignment horizontal="right" vertical="center" wrapText="1"/>
    </xf>
    <xf numFmtId="0" fontId="23" fillId="0" borderId="0" xfId="1" applyFont="1" applyAlignment="1">
      <alignment horizontal="right" vertical="center" wrapText="1"/>
    </xf>
    <xf numFmtId="0" fontId="22" fillId="0" borderId="0" xfId="1" applyFont="1" applyAlignment="1">
      <alignment horizontal="right" vertical="center"/>
    </xf>
    <xf numFmtId="0" fontId="22" fillId="0" borderId="0" xfId="1" applyFont="1" applyAlignment="1">
      <alignment horizontal="left" vertical="center"/>
    </xf>
    <xf numFmtId="0" fontId="32" fillId="0" borderId="18" xfId="1" applyFont="1" applyBorder="1" applyAlignment="1">
      <alignment horizontal="center" vertical="center" wrapText="1"/>
    </xf>
    <xf numFmtId="0" fontId="22" fillId="0" borderId="13" xfId="1" applyFont="1" applyBorder="1" applyAlignment="1">
      <alignment horizontal="center" vertical="center" wrapText="1"/>
    </xf>
    <xf numFmtId="0" fontId="23" fillId="12" borderId="3" xfId="1" applyFont="1" applyFill="1" applyBorder="1" applyAlignment="1">
      <alignment horizontal="center" vertical="center" wrapText="1"/>
    </xf>
    <xf numFmtId="0" fontId="23" fillId="12" borderId="20" xfId="1" applyFont="1" applyFill="1" applyBorder="1" applyAlignment="1">
      <alignment horizontal="center" vertical="center" wrapText="1"/>
    </xf>
    <xf numFmtId="0" fontId="23" fillId="12" borderId="21" xfId="1" applyFont="1" applyFill="1" applyBorder="1" applyAlignment="1">
      <alignment horizontal="center" vertical="center" wrapText="1"/>
    </xf>
    <xf numFmtId="0" fontId="24" fillId="0" borderId="57" xfId="1" applyFont="1" applyBorder="1" applyAlignment="1">
      <alignment horizontal="center" vertical="center" wrapText="1"/>
    </xf>
    <xf numFmtId="0" fontId="22" fillId="0" borderId="57" xfId="1" applyFont="1" applyBorder="1" applyAlignment="1">
      <alignment horizontal="left" vertical="center" wrapText="1" indent="1"/>
    </xf>
    <xf numFmtId="0" fontId="22" fillId="0" borderId="57" xfId="1" applyFont="1" applyBorder="1" applyAlignment="1">
      <alignment vertical="center" wrapText="1"/>
    </xf>
    <xf numFmtId="0" fontId="22" fillId="0" borderId="57" xfId="1" applyFont="1" applyBorder="1" applyAlignment="1">
      <alignment horizontal="center" vertical="center" wrapText="1"/>
    </xf>
    <xf numFmtId="0" fontId="22" fillId="0" borderId="57" xfId="1" applyFont="1" applyBorder="1" applyAlignment="1">
      <alignment vertical="top" wrapText="1"/>
    </xf>
    <xf numFmtId="0" fontId="23" fillId="14" borderId="51" xfId="1" applyFont="1" applyFill="1" applyBorder="1" applyAlignment="1">
      <alignment horizontal="center" vertical="center" wrapText="1"/>
    </xf>
    <xf numFmtId="0" fontId="22" fillId="2" borderId="0" xfId="1" applyFont="1" applyFill="1" applyAlignment="1">
      <alignment vertical="top" wrapText="1"/>
    </xf>
    <xf numFmtId="0" fontId="38" fillId="0" borderId="0" xfId="4" applyFont="1" applyProtection="1">
      <protection hidden="1"/>
    </xf>
    <xf numFmtId="0" fontId="38" fillId="0" borderId="0" xfId="4" applyFont="1" applyAlignment="1" applyProtection="1">
      <alignment horizontal="center"/>
      <protection hidden="1"/>
    </xf>
    <xf numFmtId="0" fontId="39" fillId="0" borderId="0" xfId="4" applyFont="1" applyProtection="1">
      <protection hidden="1"/>
    </xf>
    <xf numFmtId="164" fontId="38" fillId="0" borderId="0" xfId="4" applyNumberFormat="1" applyFont="1" applyProtection="1">
      <protection hidden="1"/>
    </xf>
    <xf numFmtId="0" fontId="48" fillId="26" borderId="85" xfId="4" applyFont="1" applyFill="1" applyBorder="1" applyAlignment="1" applyProtection="1">
      <alignment horizontal="center" vertical="center" wrapText="1"/>
      <protection hidden="1"/>
    </xf>
    <xf numFmtId="0" fontId="48" fillId="26" borderId="86" xfId="4" applyFont="1" applyFill="1" applyBorder="1" applyAlignment="1" applyProtection="1">
      <alignment horizontal="center" vertical="center" wrapText="1"/>
      <protection hidden="1"/>
    </xf>
    <xf numFmtId="0" fontId="19" fillId="26" borderId="87" xfId="4" applyFont="1" applyFill="1" applyBorder="1" applyAlignment="1" applyProtection="1">
      <alignment horizontal="center" vertical="center" wrapText="1"/>
      <protection hidden="1"/>
    </xf>
    <xf numFmtId="0" fontId="19" fillId="27" borderId="87" xfId="4" applyFont="1" applyFill="1" applyBorder="1" applyAlignment="1" applyProtection="1">
      <alignment horizontal="center" vertical="center" wrapText="1"/>
      <protection hidden="1"/>
    </xf>
    <xf numFmtId="0" fontId="19" fillId="28" borderId="87" xfId="4" applyFont="1" applyFill="1" applyBorder="1" applyAlignment="1" applyProtection="1">
      <alignment horizontal="center" vertical="center" wrapText="1"/>
      <protection hidden="1"/>
    </xf>
    <xf numFmtId="0" fontId="19" fillId="29" borderId="87" xfId="4" applyFont="1" applyFill="1" applyBorder="1" applyAlignment="1" applyProtection="1">
      <alignment horizontal="center" vertical="center" wrapText="1"/>
      <protection hidden="1"/>
    </xf>
    <xf numFmtId="0" fontId="19" fillId="30" borderId="87" xfId="4" applyFont="1" applyFill="1" applyBorder="1" applyAlignment="1" applyProtection="1">
      <alignment horizontal="center" vertical="center" wrapText="1"/>
      <protection hidden="1"/>
    </xf>
    <xf numFmtId="0" fontId="19" fillId="31" borderId="87" xfId="4" applyFont="1" applyFill="1" applyBorder="1" applyAlignment="1" applyProtection="1">
      <alignment horizontal="center" vertical="center" wrapText="1"/>
      <protection hidden="1"/>
    </xf>
    <xf numFmtId="0" fontId="39" fillId="32" borderId="84" xfId="4" applyFont="1" applyFill="1" applyBorder="1" applyAlignment="1" applyProtection="1">
      <alignment horizontal="center" vertical="center" wrapText="1"/>
      <protection hidden="1"/>
    </xf>
    <xf numFmtId="14" fontId="49" fillId="0" borderId="88" xfId="4" applyNumberFormat="1" applyFont="1" applyBorder="1" applyAlignment="1" applyProtection="1">
      <alignment horizontal="center" vertical="center"/>
      <protection hidden="1"/>
    </xf>
    <xf numFmtId="0" fontId="50" fillId="0" borderId="88" xfId="4" applyFont="1" applyBorder="1" applyAlignment="1" applyProtection="1">
      <alignment vertical="center"/>
      <protection hidden="1"/>
    </xf>
    <xf numFmtId="0" fontId="51" fillId="19" borderId="83" xfId="4" applyFont="1" applyFill="1" applyBorder="1" applyAlignment="1" applyProtection="1">
      <alignment horizontal="center"/>
      <protection hidden="1"/>
    </xf>
    <xf numFmtId="0" fontId="38" fillId="26" borderId="89" xfId="4" applyFont="1" applyFill="1" applyBorder="1" applyAlignment="1" applyProtection="1">
      <alignment horizontal="center"/>
      <protection hidden="1"/>
    </xf>
    <xf numFmtId="1" fontId="38" fillId="26" borderId="89" xfId="4" applyNumberFormat="1" applyFont="1" applyFill="1" applyBorder="1" applyAlignment="1" applyProtection="1">
      <alignment horizontal="center"/>
      <protection hidden="1"/>
    </xf>
    <xf numFmtId="10" fontId="52" fillId="26" borderId="90" xfId="4" applyNumberFormat="1" applyFont="1" applyFill="1" applyBorder="1" applyProtection="1">
      <protection hidden="1"/>
    </xf>
    <xf numFmtId="0" fontId="38" fillId="33" borderId="89" xfId="4" applyFont="1" applyFill="1" applyBorder="1" applyAlignment="1" applyProtection="1">
      <alignment horizontal="center"/>
      <protection hidden="1"/>
    </xf>
    <xf numFmtId="10" fontId="52" fillId="27" borderId="90" xfId="4" applyNumberFormat="1" applyFont="1" applyFill="1" applyBorder="1" applyProtection="1">
      <protection hidden="1"/>
    </xf>
    <xf numFmtId="0" fontId="38" fillId="34" borderId="89" xfId="4" applyFont="1" applyFill="1" applyBorder="1" applyAlignment="1" applyProtection="1">
      <alignment horizontal="center"/>
      <protection hidden="1"/>
    </xf>
    <xf numFmtId="10" fontId="52" fillId="28" borderId="90" xfId="4" applyNumberFormat="1" applyFont="1" applyFill="1" applyBorder="1" applyProtection="1">
      <protection hidden="1"/>
    </xf>
    <xf numFmtId="0" fontId="38" fillId="35" borderId="89" xfId="4" applyFont="1" applyFill="1" applyBorder="1" applyAlignment="1" applyProtection="1">
      <alignment horizontal="center"/>
      <protection hidden="1"/>
    </xf>
    <xf numFmtId="10" fontId="52" fillId="29" borderId="90" xfId="4" applyNumberFormat="1" applyFont="1" applyFill="1" applyBorder="1" applyProtection="1">
      <protection hidden="1"/>
    </xf>
    <xf numFmtId="0" fontId="38" fillId="36" borderId="89" xfId="4" applyFont="1" applyFill="1" applyBorder="1" applyAlignment="1" applyProtection="1">
      <alignment horizontal="center"/>
      <protection hidden="1"/>
    </xf>
    <xf numFmtId="10" fontId="52" fillId="30" borderId="90" xfId="4" applyNumberFormat="1" applyFont="1" applyFill="1" applyBorder="1" applyProtection="1">
      <protection hidden="1"/>
    </xf>
    <xf numFmtId="0" fontId="38" fillId="31" borderId="91" xfId="4" applyFont="1" applyFill="1" applyBorder="1" applyAlignment="1" applyProtection="1">
      <alignment horizontal="center"/>
      <protection hidden="1"/>
    </xf>
    <xf numFmtId="10" fontId="52" fillId="31" borderId="90" xfId="4" applyNumberFormat="1" applyFont="1" applyFill="1" applyBorder="1" applyProtection="1">
      <protection hidden="1"/>
    </xf>
    <xf numFmtId="0" fontId="38" fillId="32" borderId="91" xfId="4" applyFont="1" applyFill="1" applyBorder="1" applyAlignment="1" applyProtection="1">
      <alignment horizontal="center"/>
      <protection hidden="1"/>
    </xf>
    <xf numFmtId="10" fontId="52" fillId="32" borderId="92" xfId="4" applyNumberFormat="1" applyFont="1" applyFill="1" applyBorder="1" applyAlignment="1" applyProtection="1">
      <alignment horizontal="center"/>
      <protection hidden="1"/>
    </xf>
    <xf numFmtId="10" fontId="38" fillId="0" borderId="0" xfId="4" applyNumberFormat="1" applyFont="1" applyProtection="1">
      <protection hidden="1"/>
    </xf>
    <xf numFmtId="0" fontId="48" fillId="37" borderId="85" xfId="4" applyFont="1" applyFill="1" applyBorder="1" applyAlignment="1" applyProtection="1">
      <alignment horizontal="center" vertical="center" wrapText="1"/>
      <protection hidden="1"/>
    </xf>
    <xf numFmtId="0" fontId="48" fillId="37" borderId="86" xfId="4" applyFont="1" applyFill="1" applyBorder="1" applyAlignment="1" applyProtection="1">
      <alignment horizontal="center" vertical="center" wrapText="1"/>
      <protection hidden="1"/>
    </xf>
    <xf numFmtId="0" fontId="48" fillId="38" borderId="85" xfId="4" applyFont="1" applyFill="1" applyBorder="1" applyAlignment="1" applyProtection="1">
      <alignment horizontal="center" vertical="center" wrapText="1"/>
      <protection hidden="1"/>
    </xf>
    <xf numFmtId="0" fontId="48" fillId="38" borderId="86" xfId="4" applyFont="1" applyFill="1" applyBorder="1" applyAlignment="1" applyProtection="1">
      <alignment horizontal="center" vertical="center" wrapText="1"/>
      <protection hidden="1"/>
    </xf>
    <xf numFmtId="0" fontId="48" fillId="36" borderId="85" xfId="4" applyFont="1" applyFill="1" applyBorder="1" applyAlignment="1" applyProtection="1">
      <alignment horizontal="center" vertical="center" wrapText="1"/>
      <protection hidden="1"/>
    </xf>
    <xf numFmtId="0" fontId="48" fillId="36" borderId="86" xfId="4" applyFont="1" applyFill="1" applyBorder="1" applyAlignment="1" applyProtection="1">
      <alignment horizontal="center" vertical="center" wrapText="1"/>
      <protection hidden="1"/>
    </xf>
    <xf numFmtId="0" fontId="48" fillId="35" borderId="85" xfId="4" applyFont="1" applyFill="1" applyBorder="1" applyAlignment="1" applyProtection="1">
      <alignment horizontal="center" vertical="center" wrapText="1"/>
      <protection hidden="1"/>
    </xf>
    <xf numFmtId="0" fontId="48" fillId="35" borderId="86" xfId="4" applyFont="1" applyFill="1" applyBorder="1" applyAlignment="1" applyProtection="1">
      <alignment horizontal="center" vertical="center" wrapText="1"/>
      <protection hidden="1"/>
    </xf>
    <xf numFmtId="0" fontId="48" fillId="39" borderId="85" xfId="4" applyFont="1" applyFill="1" applyBorder="1" applyAlignment="1" applyProtection="1">
      <alignment horizontal="center" vertical="center" wrapText="1"/>
      <protection hidden="1"/>
    </xf>
    <xf numFmtId="0" fontId="48" fillId="39" borderId="86" xfId="4" applyFont="1" applyFill="1" applyBorder="1" applyAlignment="1" applyProtection="1">
      <alignment horizontal="center" vertical="center" wrapText="1"/>
      <protection hidden="1"/>
    </xf>
    <xf numFmtId="0" fontId="48" fillId="33" borderId="85" xfId="4" applyFont="1" applyFill="1" applyBorder="1" applyAlignment="1" applyProtection="1">
      <alignment horizontal="center" vertical="center" wrapText="1"/>
      <protection hidden="1"/>
    </xf>
    <xf numFmtId="0" fontId="48" fillId="33" borderId="86" xfId="4" applyFont="1" applyFill="1" applyBorder="1" applyAlignment="1" applyProtection="1">
      <alignment horizontal="center" vertical="center" wrapText="1"/>
      <protection hidden="1"/>
    </xf>
    <xf numFmtId="0" fontId="50" fillId="40" borderId="20" xfId="4" applyFont="1" applyFill="1" applyBorder="1" applyAlignment="1" applyProtection="1">
      <alignment horizontal="center"/>
      <protection hidden="1"/>
    </xf>
    <xf numFmtId="10" fontId="53" fillId="40" borderId="20" xfId="4" applyNumberFormat="1" applyFont="1" applyFill="1" applyBorder="1" applyProtection="1">
      <protection hidden="1"/>
    </xf>
    <xf numFmtId="14" fontId="22" fillId="0" borderId="11" xfId="1" applyNumberFormat="1" applyFont="1" applyBorder="1" applyAlignment="1">
      <alignment horizontal="center" vertical="center" wrapText="1"/>
    </xf>
    <xf numFmtId="1" fontId="38" fillId="26" borderId="93" xfId="4" applyNumberFormat="1" applyFont="1" applyFill="1" applyBorder="1" applyAlignment="1" applyProtection="1">
      <alignment horizontal="center"/>
      <protection hidden="1"/>
    </xf>
    <xf numFmtId="0" fontId="38" fillId="33" borderId="93" xfId="4" applyFont="1" applyFill="1" applyBorder="1" applyAlignment="1" applyProtection="1">
      <alignment horizontal="center"/>
      <protection hidden="1"/>
    </xf>
    <xf numFmtId="0" fontId="38" fillId="34" borderId="93" xfId="4" applyFont="1" applyFill="1" applyBorder="1" applyAlignment="1" applyProtection="1">
      <alignment horizontal="center"/>
      <protection hidden="1"/>
    </xf>
    <xf numFmtId="0" fontId="38" fillId="35" borderId="93" xfId="4" applyFont="1" applyFill="1" applyBorder="1" applyAlignment="1" applyProtection="1">
      <alignment horizontal="center"/>
      <protection hidden="1"/>
    </xf>
    <xf numFmtId="0" fontId="38" fillId="36" borderId="93" xfId="4" applyFont="1" applyFill="1" applyBorder="1" applyAlignment="1" applyProtection="1">
      <alignment horizontal="center"/>
      <protection hidden="1"/>
    </xf>
    <xf numFmtId="0" fontId="38" fillId="31" borderId="73" xfId="4" applyFont="1" applyFill="1" applyBorder="1" applyAlignment="1" applyProtection="1">
      <alignment horizontal="center"/>
      <protection hidden="1"/>
    </xf>
    <xf numFmtId="0" fontId="38" fillId="32" borderId="73" xfId="4" applyFont="1" applyFill="1" applyBorder="1" applyAlignment="1" applyProtection="1">
      <alignment horizontal="center"/>
      <protection hidden="1"/>
    </xf>
    <xf numFmtId="1" fontId="50" fillId="40" borderId="20" xfId="4" applyNumberFormat="1" applyFont="1" applyFill="1" applyBorder="1" applyAlignment="1" applyProtection="1">
      <alignment horizontal="center"/>
      <protection hidden="1"/>
    </xf>
    <xf numFmtId="0" fontId="22" fillId="0" borderId="37" xfId="1" applyFont="1" applyBorder="1" applyAlignment="1">
      <alignment horizontal="left" vertical="center" wrapText="1"/>
    </xf>
    <xf numFmtId="0" fontId="56" fillId="0" borderId="51" xfId="4" applyFont="1" applyBorder="1" applyAlignment="1" applyProtection="1">
      <alignment horizontal="center" vertical="center"/>
      <protection hidden="1"/>
    </xf>
    <xf numFmtId="0" fontId="24" fillId="0" borderId="15" xfId="1" applyFont="1" applyBorder="1" applyAlignment="1">
      <alignment horizontal="left" vertical="center" wrapText="1"/>
    </xf>
    <xf numFmtId="0" fontId="24" fillId="0" borderId="37" xfId="1" applyFont="1" applyBorder="1" applyAlignment="1">
      <alignment horizontal="center" vertical="center" wrapText="1"/>
    </xf>
    <xf numFmtId="0" fontId="24" fillId="0" borderId="37" xfId="1" applyFont="1" applyBorder="1" applyAlignment="1">
      <alignment horizontal="left" vertical="center" wrapText="1"/>
    </xf>
    <xf numFmtId="0" fontId="29" fillId="0" borderId="37" xfId="1" applyFont="1" applyBorder="1" applyAlignment="1">
      <alignment horizontal="left" vertical="center" wrapText="1"/>
    </xf>
    <xf numFmtId="0" fontId="24" fillId="0" borderId="35" xfId="1" applyFont="1" applyBorder="1" applyAlignment="1">
      <alignment horizontal="left" vertical="center" wrapText="1"/>
    </xf>
    <xf numFmtId="0" fontId="24" fillId="0" borderId="35" xfId="1" applyFont="1" applyBorder="1" applyAlignment="1">
      <alignment vertical="center" wrapText="1"/>
    </xf>
    <xf numFmtId="0" fontId="24" fillId="0" borderId="15" xfId="1" applyFont="1" applyBorder="1" applyAlignment="1">
      <alignment vertical="center" wrapText="1"/>
    </xf>
    <xf numFmtId="0" fontId="24" fillId="0" borderId="37" xfId="1" applyFont="1" applyBorder="1" applyAlignment="1">
      <alignment vertical="center" wrapText="1"/>
    </xf>
    <xf numFmtId="0" fontId="57" fillId="0" borderId="37" xfId="1" applyFont="1" applyBorder="1" applyAlignment="1">
      <alignment horizontal="center" vertical="center" wrapText="1"/>
    </xf>
    <xf numFmtId="0" fontId="29" fillId="0" borderId="37" xfId="1" applyFont="1" applyBorder="1" applyAlignment="1">
      <alignment vertical="center" wrapText="1"/>
    </xf>
    <xf numFmtId="0" fontId="29" fillId="0" borderId="35" xfId="1" applyFont="1" applyBorder="1" applyAlignment="1">
      <alignment vertical="center" wrapText="1"/>
    </xf>
    <xf numFmtId="0" fontId="29" fillId="0" borderId="15" xfId="1" applyFont="1" applyBorder="1" applyAlignment="1">
      <alignment vertical="center" wrapText="1"/>
    </xf>
    <xf numFmtId="16" fontId="22" fillId="0" borderId="38" xfId="1" applyNumberFormat="1" applyFont="1" applyBorder="1" applyAlignment="1">
      <alignment horizontal="center" vertical="center" wrapText="1"/>
    </xf>
    <xf numFmtId="0" fontId="24" fillId="0" borderId="15" xfId="1" applyFont="1" applyBorder="1" applyAlignment="1">
      <alignment horizontal="center" vertical="center" wrapText="1"/>
    </xf>
    <xf numFmtId="0" fontId="24" fillId="0" borderId="38" xfId="1" applyFont="1" applyBorder="1" applyAlignment="1">
      <alignment horizontal="center" vertical="center" wrapText="1"/>
    </xf>
    <xf numFmtId="14" fontId="22" fillId="0" borderId="38" xfId="1" applyNumberFormat="1" applyFont="1" applyBorder="1" applyAlignment="1">
      <alignment horizontal="center" vertical="center" wrapText="1"/>
    </xf>
    <xf numFmtId="14" fontId="24" fillId="0" borderId="37" xfId="1" applyNumberFormat="1" applyFont="1" applyBorder="1" applyAlignment="1">
      <alignment horizontal="left" vertical="center" wrapText="1"/>
    </xf>
    <xf numFmtId="0" fontId="60" fillId="0" borderId="83" xfId="0" applyFont="1" applyBorder="1" applyAlignment="1">
      <alignment horizontal="center" vertical="center" wrapText="1"/>
    </xf>
    <xf numFmtId="14" fontId="60" fillId="0" borderId="88" xfId="0" applyNumberFormat="1" applyFont="1" applyBorder="1" applyAlignment="1">
      <alignment horizontal="center" vertical="center" wrapText="1"/>
    </xf>
    <xf numFmtId="0" fontId="60" fillId="0" borderId="88" xfId="0" applyFont="1" applyBorder="1" applyAlignment="1">
      <alignment horizontal="center" vertical="center" wrapText="1"/>
    </xf>
    <xf numFmtId="0" fontId="60" fillId="0" borderId="78" xfId="0" applyFont="1" applyBorder="1" applyAlignment="1">
      <alignment horizontal="center" vertical="center" wrapText="1"/>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5" fillId="3" borderId="3" xfId="0" applyFont="1" applyFill="1" applyBorder="1" applyAlignment="1">
      <alignment vertical="center" wrapText="1"/>
    </xf>
    <xf numFmtId="0" fontId="5" fillId="3" borderId="2" xfId="0" applyFont="1" applyFill="1" applyBorder="1" applyAlignment="1">
      <alignment vertical="center" wrapText="1"/>
    </xf>
    <xf numFmtId="0" fontId="3" fillId="3" borderId="20" xfId="0" applyFont="1" applyFill="1" applyBorder="1" applyAlignment="1">
      <alignment horizontal="center" vertical="center" wrapText="1"/>
    </xf>
    <xf numFmtId="164" fontId="3" fillId="3" borderId="22" xfId="0" applyNumberFormat="1" applyFont="1" applyFill="1" applyBorder="1" applyAlignment="1">
      <alignment horizontal="center" vertical="center" wrapText="1"/>
    </xf>
    <xf numFmtId="164" fontId="3" fillId="3" borderId="1" xfId="0" applyNumberFormat="1" applyFont="1" applyFill="1" applyBorder="1" applyAlignment="1">
      <alignment horizontal="center" vertical="center" wrapText="1"/>
    </xf>
    <xf numFmtId="0" fontId="6" fillId="4" borderId="13" xfId="0" applyFont="1" applyFill="1" applyBorder="1" applyAlignment="1">
      <alignment vertical="center" wrapText="1"/>
    </xf>
    <xf numFmtId="0" fontId="2" fillId="0" borderId="11" xfId="0" applyFont="1" applyBorder="1" applyAlignment="1">
      <alignment vertical="center" wrapText="1"/>
    </xf>
    <xf numFmtId="0" fontId="6" fillId="2" borderId="11" xfId="0" applyFont="1" applyFill="1" applyBorder="1" applyAlignment="1">
      <alignment vertical="center" wrapText="1"/>
    </xf>
    <xf numFmtId="0" fontId="2" fillId="4" borderId="11" xfId="0" applyFont="1" applyFill="1" applyBorder="1" applyAlignment="1">
      <alignment vertical="center" wrapText="1"/>
    </xf>
    <xf numFmtId="0" fontId="2" fillId="2" borderId="23" xfId="0" applyFont="1" applyFill="1" applyBorder="1" applyAlignment="1">
      <alignment vertical="top" wrapText="1"/>
    </xf>
    <xf numFmtId="0" fontId="2" fillId="2" borderId="7" xfId="0" applyFont="1" applyFill="1" applyBorder="1" applyAlignment="1">
      <alignment vertical="top" wrapText="1"/>
    </xf>
    <xf numFmtId="0" fontId="2" fillId="2" borderId="30" xfId="0" applyFont="1" applyFill="1" applyBorder="1" applyAlignment="1">
      <alignment vertical="top" wrapText="1"/>
    </xf>
    <xf numFmtId="0" fontId="6" fillId="4" borderId="18" xfId="0" applyFont="1" applyFill="1" applyBorder="1" applyAlignment="1">
      <alignment vertical="center" wrapText="1"/>
    </xf>
    <xf numFmtId="0" fontId="2" fillId="0" borderId="38" xfId="0" applyFont="1" applyBorder="1" applyAlignment="1">
      <alignment vertical="center" wrapText="1"/>
    </xf>
    <xf numFmtId="0" fontId="2" fillId="4" borderId="38" xfId="0" applyFont="1" applyFill="1" applyBorder="1" applyAlignment="1">
      <alignment vertical="center" wrapText="1"/>
    </xf>
    <xf numFmtId="0" fontId="6" fillId="4" borderId="11" xfId="0" applyFont="1" applyFill="1" applyBorder="1" applyAlignment="1">
      <alignment vertical="center" wrapText="1"/>
    </xf>
    <xf numFmtId="0" fontId="8" fillId="0" borderId="11" xfId="0" applyFont="1" applyBorder="1" applyAlignment="1">
      <alignment horizontal="center" vertical="center" wrapText="1"/>
    </xf>
    <xf numFmtId="0" fontId="8" fillId="4" borderId="11" xfId="0" applyFont="1" applyFill="1" applyBorder="1" applyAlignment="1">
      <alignment horizontal="center" vertical="center" wrapText="1"/>
    </xf>
    <xf numFmtId="0" fontId="2" fillId="4" borderId="13" xfId="0" applyFont="1" applyFill="1" applyBorder="1" applyAlignment="1">
      <alignment vertical="center" wrapText="1"/>
    </xf>
    <xf numFmtId="164" fontId="2" fillId="0" borderId="23" xfId="0" applyNumberFormat="1" applyFont="1" applyBorder="1" applyAlignment="1">
      <alignment horizontal="center" vertical="center" wrapText="1"/>
    </xf>
    <xf numFmtId="164" fontId="2" fillId="0" borderId="8" xfId="0" applyNumberFormat="1" applyFont="1" applyBorder="1" applyAlignment="1">
      <alignment horizontal="center" vertical="center" wrapText="1"/>
    </xf>
    <xf numFmtId="0" fontId="9" fillId="4" borderId="6" xfId="0" applyFont="1" applyFill="1" applyBorder="1" applyAlignment="1">
      <alignment vertical="center" wrapText="1"/>
    </xf>
    <xf numFmtId="0" fontId="9" fillId="4" borderId="7" xfId="0" applyFont="1" applyFill="1" applyBorder="1" applyAlignment="1">
      <alignment vertical="center" wrapText="1"/>
    </xf>
    <xf numFmtId="0" fontId="6" fillId="4" borderId="38" xfId="0" applyFont="1" applyFill="1" applyBorder="1" applyAlignment="1">
      <alignment vertical="center" wrapText="1"/>
    </xf>
    <xf numFmtId="0" fontId="5" fillId="3" borderId="3" xfId="0" applyFont="1" applyFill="1" applyBorder="1" applyAlignment="1">
      <alignment horizontal="right" vertical="center" wrapText="1"/>
    </xf>
    <xf numFmtId="0" fontId="5" fillId="3" borderId="2" xfId="0" applyFont="1" applyFill="1" applyBorder="1" applyAlignment="1">
      <alignment horizontal="right" vertical="center" wrapText="1"/>
    </xf>
    <xf numFmtId="0" fontId="6" fillId="0" borderId="11" xfId="0" applyFont="1" applyBorder="1" applyAlignment="1">
      <alignment vertical="center" wrapText="1"/>
    </xf>
    <xf numFmtId="0" fontId="6" fillId="4" borderId="23" xfId="0" applyFont="1" applyFill="1" applyBorder="1" applyAlignment="1">
      <alignment horizontal="left" vertical="center" wrapText="1"/>
    </xf>
    <xf numFmtId="0" fontId="6" fillId="4" borderId="7" xfId="0" applyFont="1" applyFill="1" applyBorder="1" applyAlignment="1">
      <alignment horizontal="left" vertical="center" wrapText="1"/>
    </xf>
    <xf numFmtId="0" fontId="6" fillId="4" borderId="30" xfId="0" applyFont="1" applyFill="1" applyBorder="1" applyAlignment="1">
      <alignment horizontal="left" vertical="center" wrapText="1"/>
    </xf>
    <xf numFmtId="0" fontId="2" fillId="0" borderId="23" xfId="0" applyFont="1" applyBorder="1" applyAlignment="1">
      <alignment vertical="center" wrapText="1"/>
    </xf>
    <xf numFmtId="0" fontId="2" fillId="0" borderId="7" xfId="0" applyFont="1" applyBorder="1" applyAlignment="1">
      <alignment vertical="center" wrapText="1"/>
    </xf>
    <xf numFmtId="0" fontId="2" fillId="0" borderId="30" xfId="0" applyFont="1" applyBorder="1" applyAlignment="1">
      <alignment vertical="center" wrapText="1"/>
    </xf>
    <xf numFmtId="0" fontId="6" fillId="4" borderId="23" xfId="0" applyFont="1" applyFill="1" applyBorder="1" applyAlignment="1">
      <alignment vertical="center" wrapText="1"/>
    </xf>
    <xf numFmtId="0" fontId="6" fillId="4" borderId="7" xfId="0" applyFont="1" applyFill="1" applyBorder="1" applyAlignment="1">
      <alignment vertical="center" wrapText="1"/>
    </xf>
    <xf numFmtId="0" fontId="6" fillId="4" borderId="30" xfId="0" applyFont="1" applyFill="1" applyBorder="1" applyAlignment="1">
      <alignment vertical="center" wrapText="1"/>
    </xf>
    <xf numFmtId="0" fontId="5" fillId="0" borderId="20" xfId="0" applyFont="1" applyBorder="1" applyAlignment="1">
      <alignment horizontal="center" vertical="center" wrapText="1"/>
    </xf>
    <xf numFmtId="0" fontId="5" fillId="0" borderId="21" xfId="0" applyFont="1" applyBorder="1" applyAlignment="1">
      <alignment horizontal="center" vertical="center" wrapText="1"/>
    </xf>
    <xf numFmtId="0" fontId="2" fillId="0" borderId="18" xfId="0" applyFont="1" applyBorder="1" applyAlignment="1">
      <alignment vertical="center" wrapText="1"/>
    </xf>
    <xf numFmtId="0" fontId="2" fillId="0" borderId="23" xfId="0" applyFont="1" applyBorder="1" applyAlignment="1">
      <alignment vertical="top" wrapText="1"/>
    </xf>
    <xf numFmtId="0" fontId="2" fillId="0" borderId="7" xfId="0" applyFont="1" applyBorder="1" applyAlignment="1">
      <alignment vertical="top" wrapText="1"/>
    </xf>
    <xf numFmtId="0" fontId="2" fillId="0" borderId="30" xfId="0" applyFont="1" applyBorder="1" applyAlignment="1">
      <alignment vertical="top" wrapText="1"/>
    </xf>
    <xf numFmtId="0" fontId="2" fillId="7" borderId="23" xfId="0" applyFont="1" applyFill="1" applyBorder="1" applyAlignment="1">
      <alignment vertical="center" wrapText="1"/>
    </xf>
    <xf numFmtId="0" fontId="2" fillId="7" borderId="7" xfId="0" applyFont="1" applyFill="1" applyBorder="1" applyAlignment="1">
      <alignment vertical="center" wrapText="1"/>
    </xf>
    <xf numFmtId="0" fontId="2" fillId="7" borderId="30" xfId="0" applyFont="1" applyFill="1" applyBorder="1" applyAlignment="1">
      <alignment vertical="center" wrapText="1"/>
    </xf>
    <xf numFmtId="0" fontId="2" fillId="2" borderId="23" xfId="0" applyFont="1" applyFill="1" applyBorder="1" applyAlignment="1">
      <alignment vertical="center" wrapText="1"/>
    </xf>
    <xf numFmtId="0" fontId="2" fillId="2" borderId="7" xfId="0" applyFont="1" applyFill="1" applyBorder="1" applyAlignment="1">
      <alignment vertical="center" wrapText="1"/>
    </xf>
    <xf numFmtId="0" fontId="2" fillId="2" borderId="30" xfId="0" applyFont="1" applyFill="1" applyBorder="1" applyAlignment="1">
      <alignment vertical="center" wrapText="1"/>
    </xf>
    <xf numFmtId="0" fontId="5" fillId="3" borderId="43" xfId="0" applyFont="1" applyFill="1" applyBorder="1" applyAlignment="1">
      <alignment vertical="center" wrapText="1"/>
    </xf>
    <xf numFmtId="164" fontId="2" fillId="4" borderId="23" xfId="0" applyNumberFormat="1" applyFont="1" applyFill="1" applyBorder="1" applyAlignment="1">
      <alignment horizontal="center" vertical="center" wrapText="1"/>
    </xf>
    <xf numFmtId="164" fontId="2" fillId="4" borderId="8" xfId="0" applyNumberFormat="1" applyFont="1" applyFill="1" applyBorder="1" applyAlignment="1">
      <alignment horizontal="center" vertical="center" wrapText="1"/>
    </xf>
    <xf numFmtId="0" fontId="3" fillId="3" borderId="22" xfId="0" applyFont="1" applyFill="1" applyBorder="1" applyAlignment="1">
      <alignment horizontal="center" vertical="center" wrapText="1"/>
    </xf>
    <xf numFmtId="0" fontId="3" fillId="3" borderId="43" xfId="0" applyFont="1" applyFill="1" applyBorder="1" applyAlignment="1">
      <alignment horizontal="center" vertical="center" wrapText="1"/>
    </xf>
    <xf numFmtId="0" fontId="8" fillId="4" borderId="23" xfId="0" applyFont="1" applyFill="1" applyBorder="1" applyAlignment="1">
      <alignment horizontal="center" vertical="center" wrapText="1"/>
    </xf>
    <xf numFmtId="0" fontId="8" fillId="4" borderId="30" xfId="0" applyFont="1" applyFill="1" applyBorder="1" applyAlignment="1">
      <alignment horizontal="center" vertical="center" wrapText="1"/>
    </xf>
    <xf numFmtId="0" fontId="2" fillId="7" borderId="18" xfId="0" applyFont="1" applyFill="1" applyBorder="1" applyAlignment="1">
      <alignment vertical="center" wrapText="1"/>
    </xf>
    <xf numFmtId="0" fontId="1" fillId="0" borderId="6" xfId="0" applyFont="1" applyBorder="1" applyAlignment="1">
      <alignment vertical="center" wrapText="1"/>
    </xf>
    <xf numFmtId="0" fontId="1" fillId="0" borderId="7" xfId="0" applyFont="1" applyBorder="1" applyAlignment="1">
      <alignment vertical="center" wrapText="1"/>
    </xf>
    <xf numFmtId="0" fontId="0" fillId="0" borderId="3" xfId="0" applyBorder="1"/>
    <xf numFmtId="0" fontId="0" fillId="0" borderId="2" xfId="0" applyBorder="1"/>
    <xf numFmtId="0" fontId="9" fillId="4" borderId="4" xfId="0" applyFont="1" applyFill="1" applyBorder="1" applyAlignment="1">
      <alignment vertical="center" wrapText="1"/>
    </xf>
    <xf numFmtId="0" fontId="9" fillId="4" borderId="5" xfId="0" applyFont="1" applyFill="1" applyBorder="1" applyAlignment="1">
      <alignment vertical="center" wrapText="1"/>
    </xf>
    <xf numFmtId="0" fontId="1" fillId="0" borderId="30" xfId="0" applyFont="1" applyBorder="1" applyAlignment="1">
      <alignment vertical="center" wrapText="1"/>
    </xf>
    <xf numFmtId="164" fontId="2" fillId="2" borderId="23"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164" fontId="2" fillId="4" borderId="13" xfId="0" applyNumberFormat="1" applyFont="1" applyFill="1" applyBorder="1" applyAlignment="1">
      <alignment horizontal="center" vertical="center" wrapText="1"/>
    </xf>
    <xf numFmtId="164" fontId="2" fillId="4" borderId="14" xfId="0" applyNumberFormat="1" applyFont="1" applyFill="1" applyBorder="1" applyAlignment="1">
      <alignment horizontal="center" vertical="center" wrapText="1"/>
    </xf>
    <xf numFmtId="0" fontId="9" fillId="0" borderId="6" xfId="0" applyFont="1" applyBorder="1" applyAlignment="1">
      <alignment vertical="center" wrapText="1"/>
    </xf>
    <xf numFmtId="0" fontId="9" fillId="0" borderId="30" xfId="0" applyFont="1" applyBorder="1" applyAlignment="1">
      <alignment vertical="center" wrapText="1"/>
    </xf>
    <xf numFmtId="0" fontId="8" fillId="2" borderId="23" xfId="0" applyFont="1" applyFill="1" applyBorder="1" applyAlignment="1">
      <alignment horizontal="center" vertical="center" wrapText="1"/>
    </xf>
    <xf numFmtId="0" fontId="8" fillId="2" borderId="30" xfId="0" applyFont="1" applyFill="1" applyBorder="1" applyAlignment="1">
      <alignment horizontal="center" vertical="center" wrapText="1"/>
    </xf>
    <xf numFmtId="0" fontId="7" fillId="3" borderId="32" xfId="0" applyFont="1" applyFill="1" applyBorder="1" applyAlignment="1">
      <alignment horizontal="center" vertical="center" textRotation="90" wrapText="1"/>
    </xf>
    <xf numFmtId="0" fontId="7" fillId="3" borderId="33" xfId="0" applyFont="1" applyFill="1" applyBorder="1" applyAlignment="1">
      <alignment horizontal="center" vertical="center" textRotation="90" wrapText="1"/>
    </xf>
    <xf numFmtId="0" fontId="7" fillId="3" borderId="34" xfId="0" applyFont="1" applyFill="1" applyBorder="1" applyAlignment="1">
      <alignment horizontal="center" vertical="center" textRotation="90" wrapText="1"/>
    </xf>
    <xf numFmtId="164" fontId="2" fillId="4" borderId="24" xfId="0" applyNumberFormat="1" applyFont="1" applyFill="1" applyBorder="1" applyAlignment="1">
      <alignment horizontal="center" vertical="center" wrapText="1"/>
    </xf>
    <xf numFmtId="164" fontId="2" fillId="4" borderId="10" xfId="0" applyNumberFormat="1" applyFont="1" applyFill="1" applyBorder="1" applyAlignment="1">
      <alignment horizontal="center" vertical="center" wrapText="1"/>
    </xf>
    <xf numFmtId="0" fontId="6" fillId="2" borderId="18" xfId="0" applyFont="1" applyFill="1" applyBorder="1" applyAlignment="1">
      <alignment vertical="center" wrapText="1"/>
    </xf>
    <xf numFmtId="0" fontId="8" fillId="4" borderId="13" xfId="0" applyFont="1" applyFill="1" applyBorder="1" applyAlignment="1">
      <alignment horizontal="center" vertical="center" wrapText="1"/>
    </xf>
    <xf numFmtId="164" fontId="3" fillId="3" borderId="2" xfId="0" applyNumberFormat="1" applyFont="1" applyFill="1" applyBorder="1" applyAlignment="1">
      <alignment horizontal="center" vertical="center" wrapText="1"/>
    </xf>
    <xf numFmtId="0" fontId="2" fillId="4" borderId="18" xfId="0" applyFont="1" applyFill="1" applyBorder="1" applyAlignment="1">
      <alignment vertical="center" wrapText="1"/>
    </xf>
    <xf numFmtId="0" fontId="7" fillId="3" borderId="25" xfId="0" applyFont="1" applyFill="1" applyBorder="1" applyAlignment="1">
      <alignment horizontal="center" vertical="center" textRotation="90" wrapText="1"/>
    </xf>
    <xf numFmtId="0" fontId="7" fillId="3" borderId="26" xfId="0" applyFont="1" applyFill="1" applyBorder="1" applyAlignment="1">
      <alignment horizontal="center" vertical="center" textRotation="90" wrapText="1"/>
    </xf>
    <xf numFmtId="0" fontId="7" fillId="3" borderId="27" xfId="0" applyFont="1" applyFill="1" applyBorder="1" applyAlignment="1">
      <alignment horizontal="center" vertical="center" textRotation="90" wrapText="1"/>
    </xf>
    <xf numFmtId="0" fontId="5" fillId="3" borderId="26" xfId="0" applyFont="1" applyFill="1" applyBorder="1" applyAlignment="1">
      <alignment horizontal="center" vertical="center" textRotation="90" wrapText="1"/>
    </xf>
    <xf numFmtId="0" fontId="5" fillId="3" borderId="27" xfId="0" applyFont="1" applyFill="1" applyBorder="1" applyAlignment="1">
      <alignment horizontal="center" vertical="center" textRotation="90" wrapText="1"/>
    </xf>
    <xf numFmtId="0" fontId="5" fillId="3" borderId="32" xfId="0" applyFont="1" applyFill="1" applyBorder="1" applyAlignment="1">
      <alignment horizontal="center" vertical="center" textRotation="90" wrapText="1"/>
    </xf>
    <xf numFmtId="0" fontId="5" fillId="3" borderId="33" xfId="0" applyFont="1" applyFill="1" applyBorder="1" applyAlignment="1">
      <alignment horizontal="center" vertical="center" textRotation="90" wrapText="1"/>
    </xf>
    <xf numFmtId="0" fontId="5" fillId="3" borderId="34" xfId="0" applyFont="1" applyFill="1" applyBorder="1" applyAlignment="1">
      <alignment horizontal="center" vertical="center" textRotation="90" wrapText="1"/>
    </xf>
    <xf numFmtId="0" fontId="6" fillId="4" borderId="24" xfId="0" applyFont="1" applyFill="1" applyBorder="1" applyAlignment="1">
      <alignment vertical="center" wrapText="1"/>
    </xf>
    <xf numFmtId="0" fontId="6" fillId="4" borderId="46" xfId="0" applyFont="1" applyFill="1" applyBorder="1" applyAlignment="1">
      <alignment vertical="center" wrapText="1"/>
    </xf>
    <xf numFmtId="0" fontId="6" fillId="4" borderId="47" xfId="0" applyFont="1" applyFill="1" applyBorder="1" applyAlignment="1">
      <alignment vertical="center" wrapText="1"/>
    </xf>
    <xf numFmtId="0" fontId="6" fillId="4" borderId="28" xfId="0" applyFont="1" applyFill="1" applyBorder="1" applyAlignment="1">
      <alignment vertical="center" wrapText="1"/>
    </xf>
    <xf numFmtId="0" fontId="6" fillId="4" borderId="5" xfId="0" applyFont="1" applyFill="1" applyBorder="1" applyAlignment="1">
      <alignment vertical="center" wrapText="1"/>
    </xf>
    <xf numFmtId="0" fontId="6" fillId="4" borderId="29" xfId="0" applyFont="1" applyFill="1" applyBorder="1" applyAlignment="1">
      <alignment vertical="center" wrapText="1"/>
    </xf>
    <xf numFmtId="0" fontId="6" fillId="0" borderId="23" xfId="0" applyFont="1" applyBorder="1" applyAlignment="1">
      <alignment horizontal="left" vertical="center" wrapText="1"/>
    </xf>
    <xf numFmtId="0" fontId="6" fillId="0" borderId="7" xfId="0" applyFont="1" applyBorder="1" applyAlignment="1">
      <alignment horizontal="left" vertical="center" wrapText="1"/>
    </xf>
    <xf numFmtId="0" fontId="6" fillId="0" borderId="30" xfId="0" applyFont="1" applyBorder="1" applyAlignment="1">
      <alignment horizontal="left" vertical="center" wrapText="1"/>
    </xf>
    <xf numFmtId="0" fontId="6" fillId="4" borderId="45" xfId="0" applyFont="1" applyFill="1" applyBorder="1" applyAlignment="1">
      <alignment vertical="center" wrapText="1"/>
    </xf>
    <xf numFmtId="0" fontId="6" fillId="4" borderId="48" xfId="0" applyFont="1" applyFill="1" applyBorder="1" applyAlignment="1">
      <alignment vertical="center" wrapText="1"/>
    </xf>
    <xf numFmtId="0" fontId="6" fillId="4" borderId="49" xfId="0" applyFont="1" applyFill="1" applyBorder="1" applyAlignment="1">
      <alignment vertical="center" wrapText="1"/>
    </xf>
    <xf numFmtId="0" fontId="5" fillId="3" borderId="25" xfId="0" applyFont="1" applyFill="1" applyBorder="1" applyAlignment="1">
      <alignment horizontal="center" vertical="center" textRotation="90" wrapText="1"/>
    </xf>
    <xf numFmtId="0" fontId="5" fillId="2" borderId="3" xfId="0" applyFont="1" applyFill="1" applyBorder="1" applyAlignment="1">
      <alignment horizontal="center" vertical="center" textRotation="90" wrapText="1"/>
    </xf>
    <xf numFmtId="0" fontId="5" fillId="2" borderId="2" xfId="0" applyFont="1" applyFill="1" applyBorder="1" applyAlignment="1">
      <alignment horizontal="center" vertical="center" textRotation="90" wrapText="1"/>
    </xf>
    <xf numFmtId="0" fontId="5" fillId="2" borderId="1" xfId="0" applyFont="1" applyFill="1" applyBorder="1" applyAlignment="1">
      <alignment horizontal="center" vertical="center" textRotation="90" wrapText="1"/>
    </xf>
    <xf numFmtId="0" fontId="7" fillId="3" borderId="32" xfId="0" applyFont="1" applyFill="1" applyBorder="1" applyAlignment="1" applyProtection="1">
      <alignment horizontal="center" vertical="center" textRotation="90" wrapText="1"/>
      <protection locked="0"/>
    </xf>
    <xf numFmtId="0" fontId="7" fillId="3" borderId="33" xfId="0" applyFont="1" applyFill="1" applyBorder="1" applyAlignment="1" applyProtection="1">
      <alignment horizontal="center" vertical="center" textRotation="90" wrapText="1"/>
      <protection locked="0"/>
    </xf>
    <xf numFmtId="0" fontId="7" fillId="3" borderId="34" xfId="0" applyFont="1" applyFill="1" applyBorder="1" applyAlignment="1" applyProtection="1">
      <alignment horizontal="center" vertical="center" textRotation="90" wrapText="1"/>
      <protection locked="0"/>
    </xf>
    <xf numFmtId="0" fontId="9" fillId="2" borderId="6" xfId="0" applyFont="1" applyFill="1" applyBorder="1" applyAlignment="1">
      <alignment vertical="center" wrapText="1"/>
    </xf>
    <xf numFmtId="0" fontId="9" fillId="2" borderId="7" xfId="0" applyFont="1" applyFill="1" applyBorder="1" applyAlignment="1">
      <alignment vertical="center" wrapText="1"/>
    </xf>
    <xf numFmtId="0" fontId="8" fillId="2" borderId="11" xfId="0" applyFont="1" applyFill="1" applyBorder="1" applyAlignment="1">
      <alignment horizontal="center" vertical="center" wrapText="1"/>
    </xf>
    <xf numFmtId="0" fontId="1" fillId="2" borderId="6" xfId="0" applyFont="1" applyFill="1" applyBorder="1" applyAlignment="1">
      <alignment vertical="center" wrapText="1"/>
    </xf>
    <xf numFmtId="0" fontId="1" fillId="2" borderId="7" xfId="0" applyFont="1" applyFill="1" applyBorder="1" applyAlignment="1">
      <alignment vertical="center" wrapText="1"/>
    </xf>
    <xf numFmtId="0" fontId="2" fillId="6" borderId="38" xfId="0" applyFont="1" applyFill="1" applyBorder="1" applyAlignment="1">
      <alignment horizontal="center" vertical="center" wrapText="1"/>
    </xf>
    <xf numFmtId="0" fontId="2" fillId="6" borderId="39" xfId="0" applyFont="1" applyFill="1" applyBorder="1" applyAlignment="1">
      <alignment horizontal="center" vertical="center" wrapText="1"/>
    </xf>
    <xf numFmtId="0" fontId="2" fillId="6" borderId="36" xfId="0" applyFont="1" applyFill="1" applyBorder="1" applyAlignment="1">
      <alignment horizontal="center" vertical="center" wrapText="1"/>
    </xf>
    <xf numFmtId="0" fontId="6" fillId="0" borderId="18" xfId="0" applyFont="1" applyBorder="1" applyAlignment="1">
      <alignment vertical="center" wrapText="1"/>
    </xf>
    <xf numFmtId="0" fontId="2" fillId="7" borderId="11" xfId="0" applyFont="1" applyFill="1" applyBorder="1" applyAlignment="1">
      <alignment vertical="center" wrapText="1"/>
    </xf>
    <xf numFmtId="9" fontId="30" fillId="0" borderId="20" xfId="1" applyNumberFormat="1" applyFont="1" applyBorder="1" applyAlignment="1">
      <alignment horizontal="center" vertical="center" wrapText="1"/>
    </xf>
    <xf numFmtId="9" fontId="30" fillId="0" borderId="21" xfId="1" applyNumberFormat="1" applyFont="1" applyBorder="1" applyAlignment="1">
      <alignment horizontal="center" vertical="center" wrapText="1"/>
    </xf>
    <xf numFmtId="0" fontId="36" fillId="0" borderId="0" xfId="1" applyFont="1" applyAlignment="1">
      <alignment horizontal="center" vertical="top" wrapText="1"/>
    </xf>
    <xf numFmtId="0" fontId="36" fillId="0" borderId="41" xfId="1" applyFont="1" applyBorder="1" applyAlignment="1">
      <alignment horizontal="center" vertical="top" wrapText="1"/>
    </xf>
    <xf numFmtId="0" fontId="25" fillId="0" borderId="13" xfId="1" applyFont="1" applyBorder="1" applyAlignment="1">
      <alignment horizontal="center" vertical="center" wrapText="1"/>
    </xf>
    <xf numFmtId="0" fontId="25" fillId="0" borderId="14" xfId="1" applyFont="1" applyBorder="1" applyAlignment="1">
      <alignment horizontal="center" vertical="center" wrapText="1"/>
    </xf>
    <xf numFmtId="0" fontId="25" fillId="0" borderId="24" xfId="1" applyFont="1" applyBorder="1" applyAlignment="1">
      <alignment horizontal="center" vertical="center" wrapText="1"/>
    </xf>
    <xf numFmtId="0" fontId="25" fillId="0" borderId="10" xfId="1" applyFont="1" applyBorder="1" applyAlignment="1">
      <alignment horizontal="center" vertical="center" wrapText="1"/>
    </xf>
    <xf numFmtId="0" fontId="30" fillId="0" borderId="3" xfId="1" applyFont="1" applyBorder="1" applyAlignment="1">
      <alignment horizontal="center" vertical="center" wrapText="1"/>
    </xf>
    <xf numFmtId="0" fontId="30" fillId="0" borderId="2" xfId="1" applyFont="1" applyBorder="1" applyAlignment="1">
      <alignment horizontal="center" vertical="center" wrapText="1"/>
    </xf>
    <xf numFmtId="0" fontId="30" fillId="0" borderId="1" xfId="1" applyFont="1" applyBorder="1" applyAlignment="1">
      <alignment horizontal="center" vertical="center" wrapText="1"/>
    </xf>
    <xf numFmtId="14" fontId="25" fillId="0" borderId="3" xfId="1" applyNumberFormat="1" applyFont="1" applyBorder="1" applyAlignment="1">
      <alignment horizontal="center" vertical="center" wrapText="1"/>
    </xf>
    <xf numFmtId="0" fontId="25" fillId="0" borderId="1" xfId="1" applyFont="1" applyBorder="1" applyAlignment="1">
      <alignment horizontal="center" vertical="center" wrapText="1"/>
    </xf>
    <xf numFmtId="0" fontId="23" fillId="12" borderId="52" xfId="1" applyFont="1" applyFill="1" applyBorder="1" applyAlignment="1">
      <alignment horizontal="center" vertical="center" wrapText="1"/>
    </xf>
    <xf numFmtId="0" fontId="23" fillId="12" borderId="53" xfId="1" applyFont="1" applyFill="1" applyBorder="1" applyAlignment="1">
      <alignment horizontal="center" vertical="center" wrapText="1"/>
    </xf>
    <xf numFmtId="0" fontId="23" fillId="12" borderId="54" xfId="1" applyFont="1" applyFill="1" applyBorder="1" applyAlignment="1">
      <alignment horizontal="center" vertical="center" wrapText="1"/>
    </xf>
    <xf numFmtId="0" fontId="34" fillId="0" borderId="13" xfId="1" applyFont="1" applyBorder="1" applyAlignment="1">
      <alignment horizontal="left" vertical="center" wrapText="1"/>
    </xf>
    <xf numFmtId="0" fontId="34" fillId="0" borderId="14" xfId="1" applyFont="1" applyBorder="1" applyAlignment="1">
      <alignment horizontal="left" vertical="center" wrapText="1"/>
    </xf>
    <xf numFmtId="0" fontId="34" fillId="0" borderId="11" xfId="1" applyFont="1" applyBorder="1" applyAlignment="1">
      <alignment horizontal="left" vertical="center" wrapText="1"/>
    </xf>
    <xf numFmtId="0" fontId="34" fillId="0" borderId="16" xfId="1" applyFont="1" applyBorder="1" applyAlignment="1">
      <alignment horizontal="left" vertical="center" wrapText="1"/>
    </xf>
    <xf numFmtId="0" fontId="34" fillId="0" borderId="18" xfId="1" applyFont="1" applyBorder="1" applyAlignment="1">
      <alignment horizontal="left" vertical="center" wrapText="1"/>
    </xf>
    <xf numFmtId="0" fontId="34" fillId="0" borderId="19" xfId="1" applyFont="1" applyBorder="1" applyAlignment="1">
      <alignment horizontal="left" vertical="center" wrapText="1"/>
    </xf>
    <xf numFmtId="0" fontId="23" fillId="12" borderId="13" xfId="1" applyFont="1" applyFill="1" applyBorder="1" applyAlignment="1">
      <alignment horizontal="center" vertical="center" wrapText="1"/>
    </xf>
    <xf numFmtId="0" fontId="23" fillId="12" borderId="14" xfId="1" applyFont="1" applyFill="1" applyBorder="1" applyAlignment="1">
      <alignment horizontal="center" vertical="center" wrapText="1"/>
    </xf>
    <xf numFmtId="0" fontId="33" fillId="0" borderId="11" xfId="1" applyFont="1" applyBorder="1" applyAlignment="1">
      <alignment horizontal="left" vertical="center" wrapText="1"/>
    </xf>
    <xf numFmtId="0" fontId="33" fillId="0" borderId="16" xfId="1" applyFont="1" applyBorder="1" applyAlignment="1">
      <alignment horizontal="left" vertical="center" wrapText="1"/>
    </xf>
    <xf numFmtId="0" fontId="33" fillId="0" borderId="18" xfId="1" applyFont="1" applyBorder="1" applyAlignment="1">
      <alignment horizontal="left" vertical="center" wrapText="1"/>
    </xf>
    <xf numFmtId="0" fontId="33" fillId="0" borderId="19" xfId="1" applyFont="1" applyBorder="1" applyAlignment="1">
      <alignment horizontal="left" vertical="center" wrapText="1"/>
    </xf>
    <xf numFmtId="0" fontId="31" fillId="0" borderId="44" xfId="0" applyFont="1" applyBorder="1" applyAlignment="1">
      <alignment horizontal="center" vertical="center" wrapText="1"/>
    </xf>
    <xf numFmtId="0" fontId="31" fillId="0" borderId="20" xfId="0" applyFont="1" applyBorder="1" applyAlignment="1">
      <alignment horizontal="center" vertical="center" wrapText="1"/>
    </xf>
    <xf numFmtId="0" fontId="23" fillId="12" borderId="3" xfId="1" applyFont="1" applyFill="1" applyBorder="1" applyAlignment="1">
      <alignment horizontal="center" vertical="center" wrapText="1"/>
    </xf>
    <xf numFmtId="0" fontId="23" fillId="12" borderId="2" xfId="1" applyFont="1" applyFill="1" applyBorder="1" applyAlignment="1">
      <alignment horizontal="center" vertical="center" wrapText="1"/>
    </xf>
    <xf numFmtId="0" fontId="23" fillId="12" borderId="1" xfId="1" applyFont="1" applyFill="1" applyBorder="1" applyAlignment="1">
      <alignment horizontal="center" vertical="center" wrapText="1"/>
    </xf>
    <xf numFmtId="0" fontId="22" fillId="0" borderId="4" xfId="1" applyFont="1" applyBorder="1" applyAlignment="1">
      <alignment horizontal="center" vertical="center" wrapText="1"/>
    </xf>
    <xf numFmtId="0" fontId="22" fillId="0" borderId="60" xfId="1" applyFont="1" applyBorder="1" applyAlignment="1">
      <alignment horizontal="center" vertical="center" wrapText="1"/>
    </xf>
    <xf numFmtId="0" fontId="24" fillId="0" borderId="12" xfId="1" applyFont="1" applyBorder="1" applyAlignment="1">
      <alignment horizontal="left" vertical="top" wrapText="1"/>
    </xf>
    <xf numFmtId="0" fontId="24" fillId="0" borderId="13" xfId="1" applyFont="1" applyBorder="1" applyAlignment="1">
      <alignment horizontal="left" vertical="top" wrapText="1"/>
    </xf>
    <xf numFmtId="0" fontId="24" fillId="0" borderId="14" xfId="1" applyFont="1" applyBorder="1" applyAlignment="1">
      <alignment horizontal="left" vertical="top" wrapText="1"/>
    </xf>
    <xf numFmtId="0" fontId="22" fillId="9" borderId="6" xfId="1" applyFont="1" applyFill="1" applyBorder="1" applyAlignment="1">
      <alignment horizontal="center" vertical="center" wrapText="1"/>
    </xf>
    <xf numFmtId="0" fontId="22" fillId="9" borderId="8" xfId="1" applyFont="1" applyFill="1" applyBorder="1" applyAlignment="1">
      <alignment horizontal="center" vertical="center" wrapText="1"/>
    </xf>
    <xf numFmtId="0" fontId="24" fillId="9" borderId="15" xfId="1" applyFont="1" applyFill="1" applyBorder="1" applyAlignment="1">
      <alignment horizontal="left" vertical="top" wrapText="1"/>
    </xf>
    <xf numFmtId="0" fontId="24" fillId="9" borderId="11" xfId="1" applyFont="1" applyFill="1" applyBorder="1" applyAlignment="1">
      <alignment horizontal="left" vertical="top" wrapText="1"/>
    </xf>
    <xf numFmtId="0" fontId="24" fillId="9" borderId="16" xfId="1" applyFont="1" applyFill="1" applyBorder="1" applyAlignment="1">
      <alignment horizontal="left" vertical="top" wrapText="1"/>
    </xf>
    <xf numFmtId="0" fontId="22" fillId="0" borderId="6" xfId="1" applyFont="1" applyBorder="1" applyAlignment="1">
      <alignment horizontal="center" vertical="center" wrapText="1"/>
    </xf>
    <xf numFmtId="0" fontId="22" fillId="0" borderId="8" xfId="1" applyFont="1" applyBorder="1" applyAlignment="1">
      <alignment horizontal="center" vertical="center" wrapText="1"/>
    </xf>
    <xf numFmtId="0" fontId="24" fillId="0" borderId="15" xfId="1" applyFont="1" applyBorder="1" applyAlignment="1">
      <alignment horizontal="left" vertical="top" wrapText="1"/>
    </xf>
    <xf numFmtId="0" fontId="24" fillId="0" borderId="11" xfId="1" applyFont="1" applyBorder="1" applyAlignment="1">
      <alignment horizontal="left" vertical="top" wrapText="1"/>
    </xf>
    <xf numFmtId="0" fontId="24" fillId="0" borderId="16" xfId="1" applyFont="1" applyBorder="1" applyAlignment="1">
      <alignment horizontal="left" vertical="top" wrapText="1"/>
    </xf>
    <xf numFmtId="0" fontId="22" fillId="0" borderId="56" xfId="1" applyFont="1" applyBorder="1" applyAlignment="1">
      <alignment horizontal="center" vertical="center" wrapText="1"/>
    </xf>
    <xf numFmtId="0" fontId="22" fillId="0" borderId="58" xfId="1" applyFont="1" applyBorder="1" applyAlignment="1">
      <alignment horizontal="center" vertical="center" wrapText="1"/>
    </xf>
    <xf numFmtId="0" fontId="24" fillId="0" borderId="37" xfId="1" applyFont="1" applyBorder="1" applyAlignment="1">
      <alignment horizontal="left" vertical="top" wrapText="1"/>
    </xf>
    <xf numFmtId="0" fontId="24" fillId="0" borderId="38" xfId="1" applyFont="1" applyBorder="1" applyAlignment="1">
      <alignment horizontal="left" vertical="top" wrapText="1"/>
    </xf>
    <xf numFmtId="0" fontId="24" fillId="0" borderId="42" xfId="1" applyFont="1" applyBorder="1" applyAlignment="1">
      <alignment horizontal="left" vertical="top" wrapText="1"/>
    </xf>
    <xf numFmtId="0" fontId="24" fillId="0" borderId="4" xfId="1" applyFont="1" applyBorder="1" applyAlignment="1">
      <alignment horizontal="left" vertical="top" wrapText="1"/>
    </xf>
    <xf numFmtId="0" fontId="24" fillId="0" borderId="5" xfId="1" applyFont="1" applyBorder="1" applyAlignment="1">
      <alignment horizontal="left" vertical="top" wrapText="1"/>
    </xf>
    <xf numFmtId="0" fontId="24" fillId="0" borderId="60" xfId="1" applyFont="1" applyBorder="1" applyAlignment="1">
      <alignment horizontal="left" vertical="top" wrapText="1"/>
    </xf>
    <xf numFmtId="0" fontId="24" fillId="0" borderId="6" xfId="1" applyFont="1" applyBorder="1" applyAlignment="1">
      <alignment horizontal="left" vertical="top" wrapText="1"/>
    </xf>
    <xf numFmtId="0" fontId="24" fillId="0" borderId="7" xfId="1" applyFont="1" applyBorder="1" applyAlignment="1">
      <alignment horizontal="left" vertical="top" wrapText="1"/>
    </xf>
    <xf numFmtId="0" fontId="24" fillId="0" borderId="8" xfId="1" applyFont="1" applyBorder="1" applyAlignment="1">
      <alignment horizontal="left" vertical="top" wrapText="1"/>
    </xf>
    <xf numFmtId="0" fontId="24" fillId="0" borderId="9" xfId="1" applyFont="1" applyBorder="1" applyAlignment="1">
      <alignment horizontal="left" vertical="top" wrapText="1"/>
    </xf>
    <xf numFmtId="0" fontId="24" fillId="0" borderId="46" xfId="1" applyFont="1" applyBorder="1" applyAlignment="1">
      <alignment horizontal="left" vertical="top" wrapText="1"/>
    </xf>
    <xf numFmtId="0" fontId="24" fillId="0" borderId="10" xfId="1" applyFont="1" applyBorder="1" applyAlignment="1">
      <alignment horizontal="left" vertical="top" wrapText="1"/>
    </xf>
    <xf numFmtId="0" fontId="24" fillId="9" borderId="26" xfId="1" applyFont="1" applyFill="1" applyBorder="1" applyAlignment="1">
      <alignment horizontal="center" vertical="center" wrapText="1"/>
    </xf>
    <xf numFmtId="0" fontId="24" fillId="9" borderId="0" xfId="1" applyFont="1" applyFill="1" applyAlignment="1">
      <alignment horizontal="center" vertical="center" wrapText="1"/>
    </xf>
    <xf numFmtId="0" fontId="24" fillId="9" borderId="59" xfId="1" applyFont="1" applyFill="1" applyBorder="1" applyAlignment="1">
      <alignment horizontal="center" vertical="center" wrapText="1"/>
    </xf>
    <xf numFmtId="0" fontId="24" fillId="0" borderId="56" xfId="1" applyFont="1" applyBorder="1" applyAlignment="1">
      <alignment horizontal="left" vertical="top" wrapText="1"/>
    </xf>
    <xf numFmtId="0" fontId="24" fillId="0" borderId="57" xfId="1" applyFont="1" applyBorder="1" applyAlignment="1">
      <alignment horizontal="left" vertical="top" wrapText="1"/>
    </xf>
    <xf numFmtId="0" fontId="24" fillId="0" borderId="58" xfId="1" applyFont="1" applyBorder="1" applyAlignment="1">
      <alignment horizontal="left" vertical="top" wrapText="1"/>
    </xf>
    <xf numFmtId="0" fontId="24" fillId="9" borderId="56" xfId="1" applyFont="1" applyFill="1" applyBorder="1" applyAlignment="1">
      <alignment horizontal="left" vertical="top" wrapText="1"/>
    </xf>
    <xf numFmtId="0" fontId="24" fillId="9" borderId="57" xfId="1" applyFont="1" applyFill="1" applyBorder="1" applyAlignment="1">
      <alignment horizontal="left" vertical="top" wrapText="1"/>
    </xf>
    <xf numFmtId="0" fontId="24" fillId="9" borderId="58" xfId="1" applyFont="1" applyFill="1" applyBorder="1" applyAlignment="1">
      <alignment horizontal="left" vertical="top" wrapText="1"/>
    </xf>
    <xf numFmtId="0" fontId="24" fillId="0" borderId="56" xfId="1" applyFont="1" applyBorder="1" applyAlignment="1">
      <alignment horizontal="center" vertical="center" wrapText="1"/>
    </xf>
    <xf numFmtId="0" fontId="24" fillId="0" borderId="57" xfId="1" applyFont="1" applyBorder="1" applyAlignment="1">
      <alignment horizontal="center" vertical="center" wrapText="1"/>
    </xf>
    <xf numFmtId="0" fontId="24" fillId="0" borderId="58" xfId="1" applyFont="1" applyBorder="1" applyAlignment="1">
      <alignment horizontal="center" vertical="center" wrapText="1"/>
    </xf>
    <xf numFmtId="0" fontId="24" fillId="9" borderId="6" xfId="1" applyFont="1" applyFill="1" applyBorder="1" applyAlignment="1">
      <alignment horizontal="center" vertical="top" wrapText="1"/>
    </xf>
    <xf numFmtId="0" fontId="24" fillId="9" borderId="7" xfId="1" applyFont="1" applyFill="1" applyBorder="1" applyAlignment="1">
      <alignment horizontal="center" vertical="top" wrapText="1"/>
    </xf>
    <xf numFmtId="0" fontId="24" fillId="9" borderId="8" xfId="1" applyFont="1" applyFill="1" applyBorder="1" applyAlignment="1">
      <alignment horizontal="center" vertical="top" wrapText="1"/>
    </xf>
    <xf numFmtId="0" fontId="24" fillId="0" borderId="25" xfId="1" applyFont="1" applyBorder="1" applyAlignment="1">
      <alignment horizontal="left" vertical="top" wrapText="1"/>
    </xf>
    <xf numFmtId="0" fontId="24" fillId="0" borderId="40" xfId="1" applyFont="1" applyBorder="1" applyAlignment="1">
      <alignment horizontal="left" vertical="top" wrapText="1"/>
    </xf>
    <xf numFmtId="0" fontId="24" fillId="0" borderId="55" xfId="1" applyFont="1" applyBorder="1" applyAlignment="1">
      <alignment horizontal="left" vertical="top" wrapText="1"/>
    </xf>
    <xf numFmtId="0" fontId="24" fillId="9" borderId="9" xfId="1" applyFont="1" applyFill="1" applyBorder="1" applyAlignment="1">
      <alignment horizontal="left" vertical="top" wrapText="1"/>
    </xf>
    <xf numFmtId="0" fontId="24" fillId="9" borderId="46" xfId="1" applyFont="1" applyFill="1" applyBorder="1" applyAlignment="1">
      <alignment horizontal="left" vertical="top" wrapText="1"/>
    </xf>
    <xf numFmtId="0" fontId="24" fillId="9" borderId="10" xfId="1" applyFont="1" applyFill="1" applyBorder="1" applyAlignment="1">
      <alignment horizontal="left" vertical="top" wrapText="1"/>
    </xf>
    <xf numFmtId="0" fontId="24" fillId="9" borderId="4" xfId="1" applyFont="1" applyFill="1" applyBorder="1" applyAlignment="1">
      <alignment horizontal="center" vertical="top" wrapText="1"/>
    </xf>
    <xf numFmtId="0" fontId="24" fillId="9" borderId="5" xfId="1" applyFont="1" applyFill="1" applyBorder="1" applyAlignment="1">
      <alignment horizontal="center" vertical="top" wrapText="1"/>
    </xf>
    <xf numFmtId="0" fontId="24" fillId="9" borderId="60" xfId="1" applyFont="1" applyFill="1" applyBorder="1" applyAlignment="1">
      <alignment horizontal="center" vertical="top" wrapText="1"/>
    </xf>
    <xf numFmtId="0" fontId="24" fillId="0" borderId="26" xfId="1" applyFont="1" applyBorder="1" applyAlignment="1">
      <alignment horizontal="left" vertical="top" wrapText="1"/>
    </xf>
    <xf numFmtId="0" fontId="24" fillId="0" borderId="0" xfId="1" applyFont="1" applyAlignment="1">
      <alignment horizontal="left" vertical="top" wrapText="1"/>
    </xf>
    <xf numFmtId="0" fontId="24" fillId="0" borderId="59" xfId="1" applyFont="1" applyBorder="1" applyAlignment="1">
      <alignment horizontal="left" vertical="top" wrapText="1"/>
    </xf>
    <xf numFmtId="0" fontId="24" fillId="9" borderId="26" xfId="1" applyFont="1" applyFill="1" applyBorder="1" applyAlignment="1">
      <alignment horizontal="left" vertical="top" wrapText="1"/>
    </xf>
    <xf numFmtId="0" fontId="24" fillId="9" borderId="0" xfId="1" applyFont="1" applyFill="1" applyAlignment="1">
      <alignment horizontal="left" vertical="top" wrapText="1"/>
    </xf>
    <xf numFmtId="0" fontId="24" fillId="9" borderId="59" xfId="1" applyFont="1" applyFill="1" applyBorder="1" applyAlignment="1">
      <alignment horizontal="left" vertical="top" wrapText="1"/>
    </xf>
    <xf numFmtId="0" fontId="25" fillId="0" borderId="41" xfId="1" applyFont="1" applyBorder="1" applyAlignment="1">
      <alignment horizontal="left" vertical="center" wrapText="1" indent="10"/>
    </xf>
    <xf numFmtId="0" fontId="23" fillId="12" borderId="4" xfId="1" applyFont="1" applyFill="1" applyBorder="1" applyAlignment="1">
      <alignment horizontal="center" vertical="center" wrapText="1"/>
    </xf>
    <xf numFmtId="0" fontId="23" fillId="12" borderId="5" xfId="1" applyFont="1" applyFill="1" applyBorder="1" applyAlignment="1">
      <alignment horizontal="center" vertical="center" wrapText="1"/>
    </xf>
    <xf numFmtId="0" fontId="23" fillId="12" borderId="60" xfId="1" applyFont="1" applyFill="1" applyBorder="1" applyAlignment="1">
      <alignment horizontal="center" vertical="center" wrapText="1"/>
    </xf>
    <xf numFmtId="0" fontId="24" fillId="0" borderId="6" xfId="1" applyFont="1" applyBorder="1" applyAlignment="1">
      <alignment horizontal="left" vertical="center" wrapText="1" indent="1"/>
    </xf>
    <xf numFmtId="0" fontId="24" fillId="0" borderId="7" xfId="1" applyFont="1" applyBorder="1" applyAlignment="1">
      <alignment horizontal="left" vertical="center" wrapText="1" indent="1"/>
    </xf>
    <xf numFmtId="0" fontId="24" fillId="0" borderId="8" xfId="1" applyFont="1" applyBorder="1" applyAlignment="1">
      <alignment horizontal="left" vertical="center" wrapText="1" indent="1"/>
    </xf>
    <xf numFmtId="0" fontId="23" fillId="8" borderId="61" xfId="1" applyFont="1" applyFill="1" applyBorder="1" applyAlignment="1">
      <alignment horizontal="center" vertical="center" wrapText="1"/>
    </xf>
    <xf numFmtId="0" fontId="23" fillId="8" borderId="64" xfId="1" applyFont="1" applyFill="1" applyBorder="1" applyAlignment="1">
      <alignment horizontal="center" vertical="center" wrapText="1"/>
    </xf>
    <xf numFmtId="0" fontId="23" fillId="8" borderId="62" xfId="1" applyFont="1" applyFill="1" applyBorder="1" applyAlignment="1">
      <alignment horizontal="center" vertical="center" wrapText="1"/>
    </xf>
    <xf numFmtId="0" fontId="23" fillId="8" borderId="65" xfId="1" applyFont="1" applyFill="1" applyBorder="1" applyAlignment="1">
      <alignment horizontal="center" vertical="center" wrapText="1"/>
    </xf>
    <xf numFmtId="0" fontId="23" fillId="8" borderId="63" xfId="1" applyFont="1" applyFill="1" applyBorder="1" applyAlignment="1">
      <alignment horizontal="center" vertical="center" wrapText="1"/>
    </xf>
    <xf numFmtId="0" fontId="23" fillId="8" borderId="66" xfId="1" applyFont="1" applyFill="1" applyBorder="1" applyAlignment="1">
      <alignment horizontal="center" vertical="center" wrapText="1"/>
    </xf>
    <xf numFmtId="0" fontId="58" fillId="42" borderId="103" xfId="0" applyFont="1" applyFill="1" applyBorder="1" applyAlignment="1">
      <alignment horizontal="left" vertical="top" wrapText="1"/>
    </xf>
    <xf numFmtId="0" fontId="58" fillId="42" borderId="33" xfId="0" applyFont="1" applyFill="1" applyBorder="1" applyAlignment="1">
      <alignment horizontal="left" vertical="top" wrapText="1"/>
    </xf>
    <xf numFmtId="0" fontId="58" fillId="42" borderId="33" xfId="0" applyFont="1" applyFill="1" applyBorder="1" applyAlignment="1">
      <alignment horizontal="center" vertical="center" wrapText="1"/>
    </xf>
    <xf numFmtId="0" fontId="58" fillId="0" borderId="103" xfId="0" applyFont="1" applyBorder="1" applyAlignment="1">
      <alignment horizontal="left" vertical="top" wrapText="1"/>
    </xf>
    <xf numFmtId="0" fontId="58" fillId="42" borderId="104" xfId="0" applyFont="1" applyFill="1" applyBorder="1" applyAlignment="1">
      <alignment horizontal="center" vertical="top" wrapText="1"/>
    </xf>
    <xf numFmtId="0" fontId="24" fillId="9" borderId="9" xfId="1" applyFont="1" applyFill="1" applyBorder="1" applyAlignment="1">
      <alignment horizontal="center" vertical="top" wrapText="1"/>
    </xf>
    <xf numFmtId="0" fontId="24" fillId="9" borderId="46" xfId="1" applyFont="1" applyFill="1" applyBorder="1" applyAlignment="1">
      <alignment horizontal="center" vertical="top" wrapText="1"/>
    </xf>
    <xf numFmtId="0" fontId="24" fillId="0" borderId="13" xfId="1" applyFont="1" applyBorder="1" applyAlignment="1">
      <alignment horizontal="center" vertical="center" wrapText="1"/>
    </xf>
    <xf numFmtId="0" fontId="24" fillId="0" borderId="14" xfId="1" applyFont="1" applyBorder="1" applyAlignment="1">
      <alignment horizontal="center" vertical="center" wrapText="1"/>
    </xf>
    <xf numFmtId="0" fontId="24" fillId="0" borderId="24" xfId="1" applyFont="1" applyBorder="1" applyAlignment="1">
      <alignment horizontal="center" vertical="center" wrapText="1"/>
    </xf>
    <xf numFmtId="0" fontId="24" fillId="0" borderId="10" xfId="1" applyFont="1" applyBorder="1" applyAlignment="1">
      <alignment horizontal="center" vertical="center" wrapText="1"/>
    </xf>
    <xf numFmtId="14" fontId="24" fillId="0" borderId="3" xfId="1" applyNumberFormat="1" applyFont="1" applyBorder="1" applyAlignment="1">
      <alignment horizontal="center" vertical="center" wrapText="1"/>
    </xf>
    <xf numFmtId="0" fontId="24" fillId="0" borderId="1" xfId="1" applyFont="1" applyBorder="1" applyAlignment="1">
      <alignment horizontal="center" vertical="center" wrapText="1"/>
    </xf>
    <xf numFmtId="0" fontId="24" fillId="0" borderId="12" xfId="1" applyFont="1" applyBorder="1" applyAlignment="1">
      <alignment horizontal="left" vertical="center" wrapText="1"/>
    </xf>
    <xf numFmtId="0" fontId="24" fillId="0" borderId="13" xfId="1" applyFont="1" applyBorder="1" applyAlignment="1">
      <alignment horizontal="left" vertical="center" wrapText="1"/>
    </xf>
    <xf numFmtId="0" fontId="24" fillId="0" borderId="14" xfId="1" applyFont="1" applyBorder="1" applyAlignment="1">
      <alignment horizontal="left" vertical="center" wrapText="1"/>
    </xf>
    <xf numFmtId="0" fontId="24" fillId="9" borderId="4" xfId="1" applyFont="1" applyFill="1" applyBorder="1" applyAlignment="1">
      <alignment horizontal="left" vertical="top" wrapText="1"/>
    </xf>
    <xf numFmtId="0" fontId="24" fillId="9" borderId="5" xfId="1" applyFont="1" applyFill="1" applyBorder="1" applyAlignment="1">
      <alignment horizontal="left" vertical="top" wrapText="1"/>
    </xf>
    <xf numFmtId="0" fontId="24" fillId="9" borderId="60" xfId="1" applyFont="1" applyFill="1" applyBorder="1" applyAlignment="1">
      <alignment horizontal="left" vertical="top" wrapText="1"/>
    </xf>
    <xf numFmtId="0" fontId="24" fillId="2" borderId="4" xfId="1" applyFont="1" applyFill="1" applyBorder="1" applyAlignment="1">
      <alignment horizontal="left" vertical="top" wrapText="1"/>
    </xf>
    <xf numFmtId="0" fontId="24" fillId="2" borderId="5" xfId="1" applyFont="1" applyFill="1" applyBorder="1" applyAlignment="1">
      <alignment horizontal="left" vertical="top" wrapText="1"/>
    </xf>
    <xf numFmtId="0" fontId="24" fillId="2" borderId="60" xfId="1" applyFont="1" applyFill="1" applyBorder="1" applyAlignment="1">
      <alignment horizontal="left" vertical="top" wrapText="1"/>
    </xf>
    <xf numFmtId="0" fontId="24" fillId="9" borderId="10" xfId="1" applyFont="1" applyFill="1" applyBorder="1" applyAlignment="1">
      <alignment horizontal="center" vertical="top" wrapText="1"/>
    </xf>
    <xf numFmtId="0" fontId="24" fillId="0" borderId="6" xfId="1" applyFont="1" applyBorder="1" applyAlignment="1">
      <alignment horizontal="center" vertical="top" wrapText="1"/>
    </xf>
    <xf numFmtId="0" fontId="24" fillId="0" borderId="7" xfId="1" applyFont="1" applyBorder="1" applyAlignment="1">
      <alignment horizontal="center" vertical="top" wrapText="1"/>
    </xf>
    <xf numFmtId="0" fontId="24" fillId="0" borderId="8" xfId="1" applyFont="1" applyBorder="1" applyAlignment="1">
      <alignment horizontal="center" vertical="top" wrapText="1"/>
    </xf>
    <xf numFmtId="0" fontId="58" fillId="0" borderId="97" xfId="0" applyFont="1" applyBorder="1" applyAlignment="1">
      <alignment horizontal="left" vertical="top" wrapText="1"/>
    </xf>
    <xf numFmtId="0" fontId="59" fillId="0" borderId="98" xfId="0" applyFont="1" applyBorder="1"/>
    <xf numFmtId="0" fontId="59" fillId="0" borderId="99" xfId="0" applyFont="1" applyBorder="1"/>
    <xf numFmtId="0" fontId="58" fillId="43" borderId="97" xfId="0" applyFont="1" applyFill="1" applyBorder="1" applyAlignment="1">
      <alignment horizontal="left" vertical="top" wrapText="1"/>
    </xf>
    <xf numFmtId="0" fontId="24" fillId="9" borderId="6" xfId="1" applyFont="1" applyFill="1" applyBorder="1" applyAlignment="1">
      <alignment horizontal="left" vertical="top" wrapText="1"/>
    </xf>
    <xf numFmtId="0" fontId="24" fillId="9" borderId="7" xfId="1" applyFont="1" applyFill="1" applyBorder="1" applyAlignment="1">
      <alignment horizontal="left" vertical="top" wrapText="1"/>
    </xf>
    <xf numFmtId="0" fontId="24" fillId="9" borderId="8" xfId="1" applyFont="1" applyFill="1" applyBorder="1" applyAlignment="1">
      <alignment horizontal="left" vertical="top" wrapText="1"/>
    </xf>
    <xf numFmtId="0" fontId="58" fillId="0" borderId="94" xfId="0" applyFont="1" applyBorder="1" applyAlignment="1">
      <alignment horizontal="left" vertical="top" wrapText="1"/>
    </xf>
    <xf numFmtId="0" fontId="59" fillId="0" borderId="95" xfId="0" applyFont="1" applyBorder="1"/>
    <xf numFmtId="0" fontId="59" fillId="0" borderId="96" xfId="0" applyFont="1" applyBorder="1"/>
    <xf numFmtId="0" fontId="24" fillId="41" borderId="6" xfId="1" applyFont="1" applyFill="1" applyBorder="1" applyAlignment="1">
      <alignment horizontal="left" vertical="top" wrapText="1"/>
    </xf>
    <xf numFmtId="0" fontId="24" fillId="41" borderId="7" xfId="1" applyFont="1" applyFill="1" applyBorder="1" applyAlignment="1">
      <alignment horizontal="left" vertical="top" wrapText="1"/>
    </xf>
    <xf numFmtId="0" fontId="24" fillId="41" borderId="8" xfId="1" applyFont="1" applyFill="1" applyBorder="1" applyAlignment="1">
      <alignment horizontal="left" vertical="top" wrapText="1"/>
    </xf>
    <xf numFmtId="14" fontId="25" fillId="0" borderId="1" xfId="1" applyNumberFormat="1" applyFont="1" applyBorder="1" applyAlignment="1">
      <alignment horizontal="center" vertical="center" wrapText="1"/>
    </xf>
    <xf numFmtId="0" fontId="24" fillId="9" borderId="26" xfId="1" applyFont="1" applyFill="1" applyBorder="1" applyAlignment="1">
      <alignment horizontal="left" vertical="center" wrapText="1"/>
    </xf>
    <xf numFmtId="0" fontId="24" fillId="9" borderId="0" xfId="1" applyFont="1" applyFill="1" applyAlignment="1">
      <alignment horizontal="left" vertical="center" wrapText="1"/>
    </xf>
    <xf numFmtId="0" fontId="24" fillId="9" borderId="59" xfId="1" applyFont="1" applyFill="1" applyBorder="1" applyAlignment="1">
      <alignment horizontal="left" vertical="center" wrapText="1"/>
    </xf>
    <xf numFmtId="0" fontId="58" fillId="0" borderId="100" xfId="0" applyFont="1" applyBorder="1" applyAlignment="1">
      <alignment horizontal="left" vertical="top" wrapText="1"/>
    </xf>
    <xf numFmtId="0" fontId="59" fillId="0" borderId="101" xfId="0" applyFont="1" applyBorder="1"/>
    <xf numFmtId="0" fontId="59" fillId="0" borderId="102" xfId="0" applyFont="1" applyBorder="1"/>
    <xf numFmtId="0" fontId="24" fillId="9" borderId="56" xfId="1" applyFont="1" applyFill="1" applyBorder="1" applyAlignment="1">
      <alignment horizontal="center" vertical="top" wrapText="1"/>
    </xf>
    <xf numFmtId="0" fontId="24" fillId="9" borderId="57" xfId="1" applyFont="1" applyFill="1" applyBorder="1" applyAlignment="1">
      <alignment horizontal="center" vertical="top" wrapText="1"/>
    </xf>
    <xf numFmtId="0" fontId="24" fillId="9" borderId="58" xfId="1" applyFont="1" applyFill="1" applyBorder="1" applyAlignment="1">
      <alignment horizontal="center" vertical="top" wrapText="1"/>
    </xf>
    <xf numFmtId="0" fontId="29" fillId="0" borderId="9" xfId="1" applyFont="1" applyBorder="1" applyAlignment="1">
      <alignment horizontal="left" vertical="top" wrapText="1"/>
    </xf>
    <xf numFmtId="0" fontId="29" fillId="0" borderId="46" xfId="1" applyFont="1" applyBorder="1" applyAlignment="1">
      <alignment horizontal="left" vertical="top" wrapText="1"/>
    </xf>
    <xf numFmtId="0" fontId="29" fillId="0" borderId="10" xfId="1" applyFont="1" applyBorder="1" applyAlignment="1">
      <alignment horizontal="left" vertical="top" wrapText="1"/>
    </xf>
    <xf numFmtId="0" fontId="29" fillId="0" borderId="56" xfId="1" applyFont="1" applyBorder="1" applyAlignment="1">
      <alignment horizontal="left" vertical="top" wrapText="1"/>
    </xf>
    <xf numFmtId="0" fontId="29" fillId="0" borderId="57" xfId="1" applyFont="1" applyBorder="1" applyAlignment="1">
      <alignment horizontal="left" vertical="top" wrapText="1"/>
    </xf>
    <xf numFmtId="0" fontId="29" fillId="0" borderId="58" xfId="1" applyFont="1" applyBorder="1" applyAlignment="1">
      <alignment horizontal="left" vertical="top" wrapText="1"/>
    </xf>
    <xf numFmtId="0" fontId="29" fillId="9" borderId="6" xfId="1" applyFont="1" applyFill="1" applyBorder="1" applyAlignment="1">
      <alignment horizontal="left" vertical="center" wrapText="1"/>
    </xf>
    <xf numFmtId="0" fontId="29" fillId="9" borderId="7" xfId="1" applyFont="1" applyFill="1" applyBorder="1" applyAlignment="1">
      <alignment horizontal="left" vertical="center" wrapText="1"/>
    </xf>
    <xf numFmtId="0" fontId="29" fillId="9" borderId="8" xfId="1" applyFont="1" applyFill="1" applyBorder="1" applyAlignment="1">
      <alignment horizontal="left" vertical="center" wrapText="1"/>
    </xf>
    <xf numFmtId="0" fontId="29" fillId="0" borderId="56" xfId="1" applyFont="1" applyBorder="1" applyAlignment="1">
      <alignment horizontal="left" vertical="center" wrapText="1"/>
    </xf>
    <xf numFmtId="0" fontId="29" fillId="0" borderId="57" xfId="1" applyFont="1" applyBorder="1" applyAlignment="1">
      <alignment horizontal="left" vertical="center" wrapText="1"/>
    </xf>
    <xf numFmtId="0" fontId="29" fillId="0" borderId="58" xfId="1" applyFont="1" applyBorder="1" applyAlignment="1">
      <alignment horizontal="left" vertical="center" wrapText="1"/>
    </xf>
    <xf numFmtId="0" fontId="61" fillId="0" borderId="103" xfId="1" applyFont="1" applyBorder="1" applyAlignment="1">
      <alignment horizontal="left" vertical="top" wrapText="1"/>
    </xf>
    <xf numFmtId="0" fontId="61" fillId="42" borderId="103" xfId="1" applyFont="1" applyFill="1" applyBorder="1" applyAlignment="1">
      <alignment horizontal="left" vertical="top" wrapText="1"/>
    </xf>
    <xf numFmtId="0" fontId="24" fillId="9" borderId="56" xfId="1" applyFont="1" applyFill="1" applyBorder="1" applyAlignment="1">
      <alignment horizontal="left" vertical="center" wrapText="1"/>
    </xf>
    <xf numFmtId="0" fontId="24" fillId="9" borderId="57" xfId="1" applyFont="1" applyFill="1" applyBorder="1" applyAlignment="1">
      <alignment horizontal="left" vertical="center" wrapText="1"/>
    </xf>
    <xf numFmtId="0" fontId="24" fillId="9" borderId="58" xfId="1" applyFont="1" applyFill="1" applyBorder="1" applyAlignment="1">
      <alignment horizontal="left" vertical="center" wrapText="1"/>
    </xf>
    <xf numFmtId="0" fontId="54" fillId="9" borderId="9" xfId="1" applyFont="1" applyFill="1" applyBorder="1" applyAlignment="1">
      <alignment horizontal="center" vertical="top" wrapText="1"/>
    </xf>
    <xf numFmtId="0" fontId="54" fillId="9" borderId="46" xfId="1" applyFont="1" applyFill="1" applyBorder="1" applyAlignment="1">
      <alignment horizontal="center" vertical="top" wrapText="1"/>
    </xf>
    <xf numFmtId="0" fontId="54" fillId="9" borderId="10" xfId="1" applyFont="1" applyFill="1" applyBorder="1" applyAlignment="1">
      <alignment horizontal="center" vertical="top" wrapText="1"/>
    </xf>
    <xf numFmtId="0" fontId="44" fillId="17" borderId="75" xfId="4" applyFont="1" applyFill="1" applyBorder="1" applyAlignment="1" applyProtection="1">
      <alignment horizontal="center" vertical="center" wrapText="1"/>
      <protection hidden="1"/>
    </xf>
    <xf numFmtId="0" fontId="44" fillId="17" borderId="76" xfId="4" applyFont="1" applyFill="1" applyBorder="1" applyAlignment="1" applyProtection="1">
      <alignment horizontal="center" vertical="center" wrapText="1"/>
      <protection hidden="1"/>
    </xf>
    <xf numFmtId="0" fontId="44" fillId="17" borderId="77" xfId="4" applyFont="1" applyFill="1" applyBorder="1" applyAlignment="1" applyProtection="1">
      <alignment horizontal="center" vertical="center" wrapText="1"/>
      <protection hidden="1"/>
    </xf>
    <xf numFmtId="0" fontId="40" fillId="15" borderId="72" xfId="4" applyFont="1" applyFill="1" applyBorder="1" applyAlignment="1" applyProtection="1">
      <alignment horizontal="center"/>
      <protection hidden="1"/>
    </xf>
    <xf numFmtId="0" fontId="41" fillId="16" borderId="67" xfId="4" applyFont="1" applyFill="1" applyBorder="1" applyAlignment="1" applyProtection="1">
      <alignment horizontal="center"/>
      <protection hidden="1"/>
    </xf>
    <xf numFmtId="0" fontId="41" fillId="16" borderId="73" xfId="4" applyFont="1" applyFill="1" applyBorder="1" applyAlignment="1" applyProtection="1">
      <alignment horizontal="center"/>
      <protection hidden="1"/>
    </xf>
    <xf numFmtId="0" fontId="42" fillId="0" borderId="67" xfId="4" applyFont="1" applyBorder="1" applyAlignment="1" applyProtection="1">
      <alignment horizontal="center"/>
      <protection hidden="1"/>
    </xf>
    <xf numFmtId="0" fontId="42" fillId="0" borderId="74" xfId="4" applyFont="1" applyBorder="1" applyAlignment="1" applyProtection="1">
      <alignment horizontal="center"/>
      <protection hidden="1"/>
    </xf>
    <xf numFmtId="0" fontId="42" fillId="0" borderId="73" xfId="4" applyFont="1" applyBorder="1" applyAlignment="1" applyProtection="1">
      <alignment horizontal="center"/>
      <protection hidden="1"/>
    </xf>
    <xf numFmtId="17" fontId="41" fillId="16" borderId="67" xfId="4" applyNumberFormat="1" applyFont="1" applyFill="1" applyBorder="1" applyAlignment="1" applyProtection="1">
      <alignment horizontal="center"/>
      <protection hidden="1"/>
    </xf>
    <xf numFmtId="17" fontId="41" fillId="16" borderId="73" xfId="4" applyNumberFormat="1" applyFont="1" applyFill="1" applyBorder="1" applyAlignment="1" applyProtection="1">
      <alignment horizontal="center"/>
      <protection hidden="1"/>
    </xf>
    <xf numFmtId="17" fontId="43" fillId="0" borderId="67" xfId="4" applyNumberFormat="1" applyFont="1" applyBorder="1" applyAlignment="1" applyProtection="1">
      <alignment horizontal="center"/>
      <protection hidden="1"/>
    </xf>
    <xf numFmtId="17" fontId="43" fillId="0" borderId="74" xfId="4" applyNumberFormat="1" applyFont="1" applyBorder="1" applyAlignment="1" applyProtection="1">
      <alignment horizontal="center"/>
      <protection hidden="1"/>
    </xf>
    <xf numFmtId="17" fontId="43" fillId="0" borderId="73" xfId="4" applyNumberFormat="1" applyFont="1" applyBorder="1" applyAlignment="1" applyProtection="1">
      <alignment horizontal="center"/>
      <protection hidden="1"/>
    </xf>
    <xf numFmtId="0" fontId="47" fillId="25" borderId="75" xfId="4" applyFont="1" applyFill="1" applyBorder="1" applyAlignment="1" applyProtection="1">
      <alignment horizontal="center" vertical="center" wrapText="1"/>
      <protection hidden="1"/>
    </xf>
    <xf numFmtId="0" fontId="47" fillId="25" borderId="76" xfId="4" applyFont="1" applyFill="1" applyBorder="1" applyAlignment="1" applyProtection="1">
      <alignment horizontal="center" vertical="center" wrapText="1"/>
      <protection hidden="1"/>
    </xf>
    <xf numFmtId="0" fontId="47" fillId="25" borderId="77" xfId="4" applyFont="1" applyFill="1" applyBorder="1" applyAlignment="1" applyProtection="1">
      <alignment horizontal="center" vertical="center" wrapText="1"/>
      <protection hidden="1"/>
    </xf>
    <xf numFmtId="9" fontId="50" fillId="40" borderId="44" xfId="4" applyNumberFormat="1" applyFont="1" applyFill="1" applyBorder="1" applyAlignment="1" applyProtection="1">
      <alignment horizontal="center"/>
      <protection hidden="1"/>
    </xf>
    <xf numFmtId="9" fontId="50" fillId="40" borderId="20" xfId="4" applyNumberFormat="1" applyFont="1" applyFill="1" applyBorder="1" applyAlignment="1" applyProtection="1">
      <alignment horizontal="center"/>
      <protection hidden="1"/>
    </xf>
    <xf numFmtId="0" fontId="46" fillId="22" borderId="80" xfId="4" applyFont="1" applyFill="1" applyBorder="1" applyAlignment="1" applyProtection="1">
      <alignment horizontal="center" vertical="center" wrapText="1"/>
      <protection hidden="1"/>
    </xf>
    <xf numFmtId="0" fontId="46" fillId="22" borderId="81" xfId="4" applyFont="1" applyFill="1" applyBorder="1" applyAlignment="1" applyProtection="1">
      <alignment horizontal="center" vertical="center" wrapText="1"/>
      <protection hidden="1"/>
    </xf>
    <xf numFmtId="0" fontId="46" fillId="22" borderId="82" xfId="4" applyFont="1" applyFill="1" applyBorder="1" applyAlignment="1" applyProtection="1">
      <alignment horizontal="center" vertical="center" wrapText="1"/>
      <protection hidden="1"/>
    </xf>
    <xf numFmtId="0" fontId="46" fillId="23" borderId="80" xfId="4" applyFont="1" applyFill="1" applyBorder="1" applyAlignment="1" applyProtection="1">
      <alignment horizontal="center" vertical="center" wrapText="1"/>
      <protection hidden="1"/>
    </xf>
    <xf numFmtId="0" fontId="46" fillId="23" borderId="81" xfId="4" applyFont="1" applyFill="1" applyBorder="1" applyAlignment="1" applyProtection="1">
      <alignment horizontal="center" vertical="center" wrapText="1"/>
      <protection hidden="1"/>
    </xf>
    <xf numFmtId="0" fontId="46" fillId="23" borderId="82" xfId="4" applyFont="1" applyFill="1" applyBorder="1" applyAlignment="1" applyProtection="1">
      <alignment horizontal="center" vertical="center" wrapText="1"/>
      <protection hidden="1"/>
    </xf>
    <xf numFmtId="0" fontId="44" fillId="24" borderId="80" xfId="4" applyFont="1" applyFill="1" applyBorder="1" applyAlignment="1" applyProtection="1">
      <alignment horizontal="center" vertical="center" wrapText="1"/>
      <protection hidden="1"/>
    </xf>
    <xf numFmtId="0" fontId="44" fillId="24" borderId="81" xfId="4" applyFont="1" applyFill="1" applyBorder="1" applyAlignment="1" applyProtection="1">
      <alignment horizontal="center" vertical="center" wrapText="1"/>
      <protection hidden="1"/>
    </xf>
    <xf numFmtId="0" fontId="44" fillId="24" borderId="82" xfId="4" applyFont="1" applyFill="1" applyBorder="1" applyAlignment="1" applyProtection="1">
      <alignment horizontal="center" vertical="center" wrapText="1"/>
      <protection hidden="1"/>
    </xf>
    <xf numFmtId="0" fontId="38" fillId="18" borderId="78" xfId="4" applyFont="1" applyFill="1" applyBorder="1" applyAlignment="1" applyProtection="1">
      <alignment horizontal="center" vertical="center"/>
      <protection hidden="1"/>
    </xf>
    <xf numFmtId="0" fontId="38" fillId="18" borderId="83" xfId="4" applyFont="1" applyFill="1" applyBorder="1" applyAlignment="1" applyProtection="1">
      <alignment horizontal="center" vertical="center"/>
      <protection hidden="1"/>
    </xf>
    <xf numFmtId="0" fontId="45" fillId="19" borderId="79" xfId="4" applyFont="1" applyFill="1" applyBorder="1" applyAlignment="1" applyProtection="1">
      <alignment horizontal="center" vertical="center" wrapText="1"/>
      <protection hidden="1"/>
    </xf>
    <xf numFmtId="0" fontId="45" fillId="19" borderId="84" xfId="4" applyFont="1" applyFill="1" applyBorder="1" applyAlignment="1" applyProtection="1">
      <alignment horizontal="center" vertical="center" wrapText="1"/>
      <protection hidden="1"/>
    </xf>
    <xf numFmtId="0" fontId="46" fillId="16" borderId="80" xfId="4" applyFont="1" applyFill="1" applyBorder="1" applyAlignment="1" applyProtection="1">
      <alignment horizontal="center" vertical="center" wrapText="1"/>
      <protection hidden="1"/>
    </xf>
    <xf numFmtId="0" fontId="46" fillId="16" borderId="81" xfId="4" applyFont="1" applyFill="1" applyBorder="1" applyAlignment="1" applyProtection="1">
      <alignment horizontal="center" vertical="center" wrapText="1"/>
      <protection hidden="1"/>
    </xf>
    <xf numFmtId="0" fontId="46" fillId="16" borderId="82" xfId="4" applyFont="1" applyFill="1" applyBorder="1" applyAlignment="1" applyProtection="1">
      <alignment horizontal="center" vertical="center" wrapText="1"/>
      <protection hidden="1"/>
    </xf>
    <xf numFmtId="0" fontId="46" fillId="20" borderId="80" xfId="4" applyFont="1" applyFill="1" applyBorder="1" applyAlignment="1" applyProtection="1">
      <alignment horizontal="center" vertical="center" wrapText="1"/>
      <protection hidden="1"/>
    </xf>
    <xf numFmtId="0" fontId="46" fillId="20" borderId="81" xfId="4" applyFont="1" applyFill="1" applyBorder="1" applyAlignment="1" applyProtection="1">
      <alignment horizontal="center" vertical="center" wrapText="1"/>
      <protection hidden="1"/>
    </xf>
    <xf numFmtId="0" fontId="46" fillId="20" borderId="82" xfId="4" applyFont="1" applyFill="1" applyBorder="1" applyAlignment="1" applyProtection="1">
      <alignment horizontal="center" vertical="center" wrapText="1"/>
      <protection hidden="1"/>
    </xf>
    <xf numFmtId="0" fontId="46" fillId="21" borderId="80" xfId="4" applyFont="1" applyFill="1" applyBorder="1" applyAlignment="1" applyProtection="1">
      <alignment horizontal="center" vertical="center" wrapText="1"/>
      <protection hidden="1"/>
    </xf>
    <xf numFmtId="0" fontId="46" fillId="21" borderId="81" xfId="4" applyFont="1" applyFill="1" applyBorder="1" applyAlignment="1" applyProtection="1">
      <alignment horizontal="center" vertical="center" wrapText="1"/>
      <protection hidden="1"/>
    </xf>
    <xf numFmtId="0" fontId="46" fillId="21" borderId="82" xfId="4" applyFont="1" applyFill="1" applyBorder="1" applyAlignment="1" applyProtection="1">
      <alignment horizontal="center" vertical="center" wrapText="1"/>
      <protection hidden="1"/>
    </xf>
  </cellXfs>
  <cellStyles count="5">
    <cellStyle name="Normal" xfId="0" builtinId="0"/>
    <cellStyle name="Normal 2" xfId="1" xr:uid="{00000000-0005-0000-0000-000001000000}"/>
    <cellStyle name="Normal 3" xfId="2" xr:uid="{00000000-0005-0000-0000-000002000000}"/>
    <cellStyle name="Normal 5" xfId="4" xr:uid="{00000000-0005-0000-0000-000003000000}"/>
    <cellStyle name="Percent 2" xfId="3" xr:uid="{00000000-0005-0000-0000-000004000000}"/>
  </cellStyles>
  <dxfs count="341">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theme="0"/>
      </font>
    </dxf>
    <dxf>
      <fill>
        <patternFill>
          <bgColor rgb="FFFF0000"/>
        </patternFill>
      </fill>
    </dxf>
    <dxf>
      <fill>
        <patternFill>
          <bgColor rgb="FFFFC000"/>
        </patternFill>
      </fill>
    </dxf>
    <dxf>
      <fill>
        <patternFill>
          <bgColor rgb="FF00B050"/>
        </patternFill>
      </fill>
    </dxf>
    <dxf>
      <font>
        <b/>
        <i val="0"/>
      </font>
      <fill>
        <patternFill>
          <bgColor rgb="FF92D050"/>
        </patternFill>
      </fill>
    </dxf>
    <dxf>
      <font>
        <b/>
        <i/>
      </font>
      <fill>
        <patternFill>
          <bgColor rgb="FFFF0000"/>
        </patternFill>
      </fill>
    </dxf>
    <dxf>
      <font>
        <b/>
        <i val="0"/>
      </font>
      <fill>
        <patternFill>
          <bgColor rgb="FFFFC000"/>
        </patternFill>
      </fill>
    </dxf>
    <dxf>
      <font>
        <color rgb="FF006100"/>
      </font>
      <fill>
        <patternFill>
          <bgColor rgb="FFC6EFCE"/>
        </patternFill>
      </fill>
    </dxf>
    <dxf>
      <font>
        <color rgb="FF9C0006"/>
      </font>
      <fill>
        <patternFill>
          <bgColor rgb="FFFFC7CE"/>
        </patternFill>
      </fill>
    </dxf>
    <dxf>
      <fill>
        <patternFill>
          <bgColor rgb="FF00B050"/>
        </patternFill>
      </fill>
      <border>
        <vertical/>
        <horizontal/>
      </border>
    </dxf>
    <dxf>
      <font>
        <color theme="0"/>
      </font>
      <fill>
        <patternFill>
          <bgColor rgb="FF92D050"/>
        </patternFill>
      </fill>
      <border>
        <vertical/>
        <horizontal/>
      </border>
    </dxf>
    <dxf>
      <fill>
        <patternFill>
          <bgColor rgb="FFFF0000"/>
        </patternFill>
      </fill>
      <border>
        <vertical/>
        <horizontal/>
      </border>
    </dxf>
    <dxf>
      <font>
        <color theme="0"/>
      </font>
      <fill>
        <patternFill>
          <bgColor rgb="FFFF0000"/>
        </patternFill>
      </fill>
      <border>
        <vertical/>
        <horizontal/>
      </border>
    </dxf>
    <dxf>
      <fill>
        <patternFill>
          <bgColor rgb="FFFF0000"/>
        </patternFill>
      </fill>
    </dxf>
    <dxf>
      <fill>
        <patternFill>
          <bgColor rgb="FFFF0000"/>
        </patternFill>
      </fill>
    </dxf>
    <dxf>
      <font>
        <color theme="0"/>
      </font>
      <fill>
        <patternFill>
          <bgColor rgb="FFFF0000"/>
        </patternFill>
      </fill>
    </dxf>
    <dxf>
      <font>
        <color rgb="FFFF0000"/>
      </font>
      <fill>
        <patternFill>
          <bgColor rgb="FFFF0000"/>
        </patternFill>
      </fill>
    </dxf>
    <dxf>
      <font>
        <color rgb="FFFFFF00"/>
      </font>
      <fill>
        <patternFill>
          <bgColor rgb="FFFFFF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auto="1"/>
      </font>
      <fill>
        <patternFill>
          <bgColor rgb="FFFF0000"/>
        </patternFill>
      </fill>
    </dxf>
    <dxf>
      <font>
        <color auto="1"/>
      </font>
      <fill>
        <patternFill>
          <bgColor rgb="FFFFFF00"/>
        </patternFill>
      </fill>
    </dxf>
    <dxf>
      <font>
        <b/>
        <i val="0"/>
        <color auto="1"/>
      </font>
      <fill>
        <patternFill>
          <bgColor rgb="FFFF0000"/>
        </patternFill>
      </fill>
      <border>
        <vertical/>
        <horizontal/>
      </border>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i val="0"/>
      </font>
      <fill>
        <patternFill>
          <bgColor rgb="FFFFFF00"/>
        </patternFill>
      </fill>
    </dxf>
    <dxf>
      <font>
        <b/>
        <i val="0"/>
      </font>
      <fill>
        <patternFill>
          <bgColor rgb="FF00DE00"/>
        </patternFill>
      </fill>
    </dxf>
    <dxf>
      <font>
        <b/>
        <i val="0"/>
      </font>
      <fill>
        <patternFill>
          <bgColor rgb="FFFF0000"/>
        </patternFill>
      </fill>
    </dxf>
  </dxfs>
  <tableStyles count="0" defaultTableStyle="TableStyleMedium2" defaultPivotStyle="PivotStyleLight16"/>
  <colors>
    <mruColors>
      <color rgb="FFF2F6C0"/>
      <color rgb="FFF4FABC"/>
      <color rgb="FFBB4033"/>
      <color rgb="FFBF452D"/>
      <color rgb="FFD1543B"/>
      <color rgb="FFFFE5E7"/>
      <color rgb="FFF7AFDC"/>
      <color rgb="FFE94D92"/>
      <color rgb="FF3F1F20"/>
      <color rgb="FFC5D8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externalLink" Target="externalLinks/externalLink1.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56" Type="http://schemas.microsoft.com/office/2017/10/relationships/person" Target="persons/person.xml"/><Relationship Id="rId8" Type="http://schemas.openxmlformats.org/officeDocument/2006/relationships/worksheet" Target="worksheets/sheet8.xml"/><Relationship Id="rId51" Type="http://schemas.openxmlformats.org/officeDocument/2006/relationships/customXml" Target="../customXml/item2.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drawing22.x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9</xdr:col>
          <xdr:colOff>828675</xdr:colOff>
          <xdr:row>0</xdr:row>
          <xdr:rowOff>114300</xdr:rowOff>
        </xdr:from>
        <xdr:to>
          <xdr:col>9</xdr:col>
          <xdr:colOff>3286125</xdr:colOff>
          <xdr:row>1</xdr:row>
          <xdr:rowOff>114300</xdr:rowOff>
        </xdr:to>
        <xdr:sp macro="" textlink="">
          <xdr:nvSpPr>
            <xdr:cNvPr id="1026" name="Button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s-CO" sz="1100" b="0" i="0" u="none" strike="noStrike" baseline="0">
                  <a:solidFill>
                    <a:srgbClr val="000000"/>
                  </a:solidFill>
                  <a:latin typeface="Calibri"/>
                  <a:cs typeface="Calibri"/>
                </a:rPr>
                <a:t>Clear Form</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828675</xdr:colOff>
          <xdr:row>2</xdr:row>
          <xdr:rowOff>0</xdr:rowOff>
        </xdr:from>
        <xdr:to>
          <xdr:col>9</xdr:col>
          <xdr:colOff>3286125</xdr:colOff>
          <xdr:row>4</xdr:row>
          <xdr:rowOff>0</xdr:rowOff>
        </xdr:to>
        <xdr:sp macro="" textlink="">
          <xdr:nvSpPr>
            <xdr:cNvPr id="1027" name="Button 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s-CO" sz="1100" b="0" i="0" u="none" strike="noStrike" baseline="0">
                  <a:solidFill>
                    <a:srgbClr val="000000"/>
                  </a:solidFill>
                  <a:latin typeface="Calibri"/>
                  <a:cs typeface="Calibri"/>
                </a:rPr>
                <a:t>Add Info to Summary Sheet</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4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twoCellAnchor>
    <xdr:from>
      <xdr:col>6</xdr:col>
      <xdr:colOff>408215</xdr:colOff>
      <xdr:row>11</xdr:row>
      <xdr:rowOff>272142</xdr:rowOff>
    </xdr:from>
    <xdr:to>
      <xdr:col>7</xdr:col>
      <xdr:colOff>38878</xdr:colOff>
      <xdr:row>11</xdr:row>
      <xdr:rowOff>855305</xdr:rowOff>
    </xdr:to>
    <xdr:sp macro="" textlink="">
      <xdr:nvSpPr>
        <xdr:cNvPr id="3" name="CuadroTexto 2">
          <a:extLst>
            <a:ext uri="{FF2B5EF4-FFF2-40B4-BE49-F238E27FC236}">
              <a16:creationId xmlns:a16="http://schemas.microsoft.com/office/drawing/2014/main" id="{00000000-0008-0000-0400-000003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8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6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6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8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6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A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C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0E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4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0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2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8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A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C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1E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0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2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4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6</xdr:col>
      <xdr:colOff>408215</xdr:colOff>
      <xdr:row>11</xdr:row>
      <xdr:rowOff>272142</xdr:rowOff>
    </xdr:from>
    <xdr:to>
      <xdr:col>7</xdr:col>
      <xdr:colOff>38878</xdr:colOff>
      <xdr:row>11</xdr:row>
      <xdr:rowOff>855305</xdr:rowOff>
    </xdr:to>
    <xdr:sp macro="" textlink="">
      <xdr:nvSpPr>
        <xdr:cNvPr id="2" name="CuadroTexto 1">
          <a:extLst>
            <a:ext uri="{FF2B5EF4-FFF2-40B4-BE49-F238E27FC236}">
              <a16:creationId xmlns:a16="http://schemas.microsoft.com/office/drawing/2014/main" id="{00000000-0008-0000-2A00-000002000000}"/>
            </a:ext>
          </a:extLst>
        </xdr:cNvPr>
        <xdr:cNvSpPr txBox="1"/>
      </xdr:nvSpPr>
      <xdr:spPr>
        <a:xfrm>
          <a:off x="14286140" y="7777842"/>
          <a:ext cx="1135613" cy="5831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2000" b="1">
              <a:solidFill>
                <a:schemeClr val="bg1"/>
              </a:solidFill>
            </a:rPr>
            <a:t>Total</a:t>
          </a:r>
        </a:p>
      </xdr:txBody>
    </xdr:sp>
    <xdr:clientData/>
  </xdr:twoCellAnchor>
</xdr:wsDr>
</file>

<file path=xl/drawings/drawing22.xml><?xml version="1.0" encoding="utf-8"?>
<xdr:wsDr xmlns:xdr="http://schemas.openxmlformats.org/drawingml/2006/spreadsheetDrawing" xmlns:a="http://schemas.openxmlformats.org/drawingml/2006/main">
  <xdr:twoCellAnchor editAs="oneCell">
    <xdr:from>
      <xdr:col>3</xdr:col>
      <xdr:colOff>0</xdr:colOff>
      <xdr:row>0</xdr:row>
      <xdr:rowOff>0</xdr:rowOff>
    </xdr:from>
    <xdr:to>
      <xdr:col>3</xdr:col>
      <xdr:colOff>0</xdr:colOff>
      <xdr:row>2</xdr:row>
      <xdr:rowOff>56142</xdr:rowOff>
    </xdr:to>
    <xdr:pic>
      <xdr:nvPicPr>
        <xdr:cNvPr id="2" name="Picture 3" descr="xl/media/image1.png">
          <a:extLst>
            <a:ext uri="{FF2B5EF4-FFF2-40B4-BE49-F238E27FC236}">
              <a16:creationId xmlns:a16="http://schemas.microsoft.com/office/drawing/2014/main" id="{00000000-0008-0000-2C00-000002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75242"/>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38100</xdr:rowOff>
    </xdr:to>
    <xdr:pic>
      <xdr:nvPicPr>
        <xdr:cNvPr id="3" name="image1.png" descr="xl/media/image1.png">
          <a:extLst>
            <a:ext uri="{FF2B5EF4-FFF2-40B4-BE49-F238E27FC236}">
              <a16:creationId xmlns:a16="http://schemas.microsoft.com/office/drawing/2014/main" id="{00000000-0008-0000-2C00-000003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000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152400</xdr:rowOff>
    </xdr:to>
    <xdr:pic>
      <xdr:nvPicPr>
        <xdr:cNvPr id="4" name="image1.png" descr="xl/media/image1.png">
          <a:extLst>
            <a:ext uri="{FF2B5EF4-FFF2-40B4-BE49-F238E27FC236}">
              <a16:creationId xmlns:a16="http://schemas.microsoft.com/office/drawing/2014/main" id="{00000000-0008-0000-2C00-000004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5143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38100</xdr:rowOff>
    </xdr:to>
    <xdr:pic>
      <xdr:nvPicPr>
        <xdr:cNvPr id="5" name="image2.png" descr="xl/media/image1.png">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000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152400</xdr:rowOff>
    </xdr:to>
    <xdr:pic>
      <xdr:nvPicPr>
        <xdr:cNvPr id="6" name="image1.png" descr="xl/media/image1.png">
          <a:extLst>
            <a:ext uri="{FF2B5EF4-FFF2-40B4-BE49-F238E27FC236}">
              <a16:creationId xmlns:a16="http://schemas.microsoft.com/office/drawing/2014/main" id="{00000000-0008-0000-2C00-000006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5143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38100</xdr:rowOff>
    </xdr:to>
    <xdr:pic>
      <xdr:nvPicPr>
        <xdr:cNvPr id="7" name="image2.png" descr="xl/media/image1.png">
          <a:extLst>
            <a:ext uri="{FF2B5EF4-FFF2-40B4-BE49-F238E27FC236}">
              <a16:creationId xmlns:a16="http://schemas.microsoft.com/office/drawing/2014/main" id="{00000000-0008-0000-2C00-000007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000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152400</xdr:rowOff>
    </xdr:to>
    <xdr:pic>
      <xdr:nvPicPr>
        <xdr:cNvPr id="8" name="image1.png" descr="xl/media/image1.png">
          <a:extLst>
            <a:ext uri="{FF2B5EF4-FFF2-40B4-BE49-F238E27FC236}">
              <a16:creationId xmlns:a16="http://schemas.microsoft.com/office/drawing/2014/main" id="{00000000-0008-0000-2C00-000008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514350"/>
        </a:xfrm>
        <a:prstGeom prst="rect">
          <a:avLst/>
        </a:prstGeom>
        <a:noFill/>
        <a:ln w="3175" cap="flat" cmpd="sng">
          <a:noFill/>
          <a:prstDash/>
          <a:miter lim="800000"/>
        </a:ln>
      </xdr:spPr>
    </xdr:pic>
    <xdr:clientData/>
  </xdr:twoCellAnchor>
  <xdr:twoCellAnchor>
    <xdr:from>
      <xdr:col>3</xdr:col>
      <xdr:colOff>0</xdr:colOff>
      <xdr:row>0</xdr:row>
      <xdr:rowOff>0</xdr:rowOff>
    </xdr:from>
    <xdr:to>
      <xdr:col>3</xdr:col>
      <xdr:colOff>0</xdr:colOff>
      <xdr:row>2</xdr:row>
      <xdr:rowOff>38100</xdr:rowOff>
    </xdr:to>
    <xdr:pic>
      <xdr:nvPicPr>
        <xdr:cNvPr id="9" name="image2.png" descr="xl/media/image1.png">
          <a:extLst>
            <a:ext uri="{FF2B5EF4-FFF2-40B4-BE49-F238E27FC236}">
              <a16:creationId xmlns:a16="http://schemas.microsoft.com/office/drawing/2014/main" id="{00000000-0008-0000-2C00-000009000000}"/>
            </a:ext>
          </a:extLst>
        </xdr:cNvPr>
        <xdr:cNvPicPr>
          <a:picLocks noChangeAspect="1"/>
        </xdr:cNvPicPr>
      </xdr:nvPicPr>
      <xdr:blipFill>
        <a:blip xmlns:r="http://schemas.openxmlformats.org/officeDocument/2006/relationships" r:embed="rId1" cstate="print"/>
        <a:srcRect/>
        <a:stretch>
          <a:fillRect/>
        </a:stretch>
      </xdr:blipFill>
      <xdr:spPr>
        <a:xfrm>
          <a:off x="5600700" y="0"/>
          <a:ext cx="0" cy="400050"/>
        </a:xfrm>
        <a:prstGeom prst="rect">
          <a:avLst/>
        </a:prstGeom>
        <a:noFill/>
        <a:ln w="3175" cap="flat" cmpd="sng">
          <a:noFill/>
          <a:prstDash/>
          <a:miter lim="800000"/>
        </a:ln>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One%20Inspire"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Operations%20Review"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ne Inspire"/>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perations Review"/>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2.xml"/><Relationship Id="rId5" Type="http://schemas.openxmlformats.org/officeDocument/2006/relationships/ctrlProp" Target="../ctrlProps/ctrlProp1.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K209"/>
  <sheetViews>
    <sheetView zoomScaleNormal="100" zoomScalePageLayoutView="70" workbookViewId="0">
      <selection activeCell="B90" sqref="B90:I90"/>
    </sheetView>
  </sheetViews>
  <sheetFormatPr baseColWidth="10" defaultColWidth="0" defaultRowHeight="15" zeroHeight="1"/>
  <cols>
    <col min="1" max="1" width="10.42578125" bestFit="1" customWidth="1"/>
    <col min="2" max="2" width="11" customWidth="1"/>
    <col min="3" max="3" width="18.5703125" customWidth="1"/>
    <col min="4" max="4" width="17.140625" customWidth="1"/>
    <col min="5" max="5" width="25.140625" customWidth="1"/>
    <col min="6" max="6" width="10" customWidth="1"/>
    <col min="7" max="7" width="10.5703125" customWidth="1"/>
    <col min="8" max="8" width="13.42578125" customWidth="1"/>
    <col min="9" max="9" width="9.140625" style="25" bestFit="1" customWidth="1"/>
    <col min="10" max="10" width="50.85546875" style="27" customWidth="1"/>
    <col min="11" max="11" width="0.85546875" style="1" customWidth="1"/>
    <col min="12" max="16384" width="9.140625" hidden="1"/>
  </cols>
  <sheetData>
    <row r="1" spans="1:10" ht="16.5" customHeight="1">
      <c r="A1" s="9" t="s">
        <v>0</v>
      </c>
      <c r="B1" s="11"/>
      <c r="C1" s="6"/>
      <c r="D1" s="1"/>
      <c r="E1" s="1"/>
      <c r="F1" s="1"/>
      <c r="G1" s="1"/>
      <c r="H1" s="1"/>
      <c r="I1" s="1"/>
    </row>
    <row r="2" spans="1:10" ht="16.5" customHeight="1">
      <c r="A2" s="9" t="s">
        <v>10</v>
      </c>
      <c r="B2" s="11"/>
      <c r="C2" s="6"/>
      <c r="D2" s="1"/>
      <c r="E2" s="1"/>
      <c r="F2" s="1"/>
      <c r="G2" s="1"/>
      <c r="H2" s="1"/>
      <c r="I2" s="1"/>
    </row>
    <row r="3" spans="1:10" ht="16.5" customHeight="1">
      <c r="A3" s="9" t="s">
        <v>160</v>
      </c>
      <c r="B3" s="11"/>
      <c r="C3" s="6"/>
      <c r="D3" s="1"/>
      <c r="E3" s="1"/>
      <c r="F3" s="1"/>
      <c r="G3" s="1"/>
      <c r="H3" s="1"/>
      <c r="I3" s="1"/>
    </row>
    <row r="4" spans="1:10" ht="15.75">
      <c r="A4" s="9" t="s">
        <v>161</v>
      </c>
      <c r="B4" s="11"/>
      <c r="C4" s="38"/>
      <c r="D4" s="1"/>
      <c r="E4" s="1"/>
      <c r="F4" s="1"/>
      <c r="G4" s="1"/>
      <c r="H4" s="1"/>
      <c r="I4" s="1"/>
    </row>
    <row r="5" spans="1:10" ht="16.5" customHeight="1" thickBot="1">
      <c r="A5" s="10" t="s">
        <v>131</v>
      </c>
      <c r="B5" s="12"/>
      <c r="C5" s="39"/>
      <c r="D5" s="1"/>
      <c r="E5" s="1"/>
      <c r="F5" s="1"/>
      <c r="G5" s="1"/>
      <c r="H5" s="1"/>
      <c r="I5" s="1"/>
    </row>
    <row r="6" spans="1:10" ht="17.25" customHeight="1">
      <c r="A6" s="1"/>
      <c r="B6" s="1"/>
      <c r="C6" s="1"/>
      <c r="D6" s="1"/>
      <c r="E6" s="1"/>
      <c r="F6" s="1"/>
      <c r="G6" s="1"/>
      <c r="H6" s="1"/>
      <c r="I6" s="1"/>
    </row>
    <row r="7" spans="1:10" ht="12" customHeight="1" thickBot="1">
      <c r="A7" s="1"/>
      <c r="B7" s="1"/>
      <c r="C7" s="1"/>
      <c r="D7" s="1"/>
      <c r="E7" s="1"/>
      <c r="F7" s="1"/>
      <c r="G7" s="1"/>
      <c r="H7" s="1"/>
      <c r="I7" s="23"/>
    </row>
    <row r="8" spans="1:10" ht="17.25" thickTop="1" thickBot="1">
      <c r="A8" s="342" t="s">
        <v>8</v>
      </c>
      <c r="B8" s="343"/>
      <c r="C8" s="95">
        <f>D123</f>
        <v>8</v>
      </c>
      <c r="D8" s="4" t="s">
        <v>6</v>
      </c>
      <c r="E8" s="5">
        <f>E123:F123</f>
        <v>0</v>
      </c>
      <c r="F8" s="342" t="s">
        <v>7</v>
      </c>
      <c r="G8" s="343"/>
      <c r="H8" s="396">
        <f>G123</f>
        <v>0</v>
      </c>
      <c r="I8" s="396"/>
      <c r="J8" s="37" t="s">
        <v>9</v>
      </c>
    </row>
    <row r="9" spans="1:10" ht="9.75" customHeight="1" thickBot="1">
      <c r="A9" s="1"/>
      <c r="B9" s="1"/>
      <c r="C9" s="1"/>
      <c r="D9" s="1"/>
      <c r="E9" s="1"/>
      <c r="F9" s="1"/>
      <c r="G9" s="1"/>
      <c r="H9" s="1"/>
      <c r="I9" s="23"/>
    </row>
    <row r="10" spans="1:10" ht="31.5" customHeight="1">
      <c r="A10" s="389" t="s">
        <v>11</v>
      </c>
      <c r="B10" s="15" t="s">
        <v>68</v>
      </c>
      <c r="C10" s="323" t="s">
        <v>38</v>
      </c>
      <c r="D10" s="323"/>
      <c r="E10" s="323"/>
      <c r="F10" s="323"/>
      <c r="G10" s="323"/>
      <c r="H10" s="19" t="s">
        <v>174</v>
      </c>
      <c r="I10" s="98" t="str">
        <f>IF(H10="Yes",20,IF(H10="No",0,IF(H10="Cured in the moment",20,"")))</f>
        <v/>
      </c>
      <c r="J10" s="26"/>
    </row>
    <row r="11" spans="1:10" ht="31.5" customHeight="1">
      <c r="A11" s="390"/>
      <c r="B11" s="16" t="s">
        <v>69</v>
      </c>
      <c r="C11" s="324" t="s">
        <v>39</v>
      </c>
      <c r="D11" s="324"/>
      <c r="E11" s="324"/>
      <c r="F11" s="324"/>
      <c r="G11" s="324"/>
      <c r="H11" s="20" t="s">
        <v>174</v>
      </c>
      <c r="I11" s="96" t="str">
        <f t="shared" ref="I11:I18" si="0">IF(H11="Yes",20,IF(H11="No",0,IF(H11="Cured in the moment",20,"")))</f>
        <v/>
      </c>
      <c r="J11" s="28"/>
    </row>
    <row r="12" spans="1:10" ht="31.5" customHeight="1">
      <c r="A12" s="390"/>
      <c r="B12" s="17" t="s">
        <v>70</v>
      </c>
      <c r="C12" s="333" t="s">
        <v>40</v>
      </c>
      <c r="D12" s="333"/>
      <c r="E12" s="333"/>
      <c r="F12" s="333"/>
      <c r="G12" s="333"/>
      <c r="H12" s="21" t="s">
        <v>174</v>
      </c>
      <c r="I12" s="97" t="str">
        <f t="shared" si="0"/>
        <v/>
      </c>
      <c r="J12" s="29"/>
    </row>
    <row r="13" spans="1:10" ht="31.5" customHeight="1">
      <c r="A13" s="390"/>
      <c r="B13" s="16" t="s">
        <v>71</v>
      </c>
      <c r="C13" s="324" t="s">
        <v>41</v>
      </c>
      <c r="D13" s="324"/>
      <c r="E13" s="324"/>
      <c r="F13" s="324"/>
      <c r="G13" s="324"/>
      <c r="H13" s="20" t="s">
        <v>174</v>
      </c>
      <c r="I13" s="96" t="str">
        <f t="shared" si="0"/>
        <v/>
      </c>
      <c r="J13" s="28"/>
    </row>
    <row r="14" spans="1:10" ht="31.5" customHeight="1">
      <c r="A14" s="390"/>
      <c r="B14" s="17" t="s">
        <v>72</v>
      </c>
      <c r="C14" s="333" t="s">
        <v>42</v>
      </c>
      <c r="D14" s="333"/>
      <c r="E14" s="333"/>
      <c r="F14" s="333"/>
      <c r="G14" s="333"/>
      <c r="H14" s="21" t="s">
        <v>174</v>
      </c>
      <c r="I14" s="97" t="str">
        <f t="shared" si="0"/>
        <v/>
      </c>
      <c r="J14" s="29"/>
    </row>
    <row r="15" spans="1:10" ht="31.5" customHeight="1">
      <c r="A15" s="390"/>
      <c r="B15" s="16" t="s">
        <v>73</v>
      </c>
      <c r="C15" s="324" t="s">
        <v>43</v>
      </c>
      <c r="D15" s="324"/>
      <c r="E15" s="324"/>
      <c r="F15" s="324"/>
      <c r="G15" s="324"/>
      <c r="H15" s="20" t="s">
        <v>174</v>
      </c>
      <c r="I15" s="96" t="str">
        <f t="shared" si="0"/>
        <v/>
      </c>
      <c r="J15" s="28"/>
    </row>
    <row r="16" spans="1:10" ht="29.45" customHeight="1">
      <c r="A16" s="390"/>
      <c r="B16" s="17" t="s">
        <v>74</v>
      </c>
      <c r="C16" s="333" t="s">
        <v>143</v>
      </c>
      <c r="D16" s="333"/>
      <c r="E16" s="333"/>
      <c r="F16" s="333"/>
      <c r="G16" s="333"/>
      <c r="H16" s="21" t="s">
        <v>174</v>
      </c>
      <c r="I16" s="97" t="str">
        <f t="shared" si="0"/>
        <v/>
      </c>
      <c r="J16" s="29"/>
    </row>
    <row r="17" spans="1:11" ht="36" customHeight="1">
      <c r="A17" s="390"/>
      <c r="B17" s="16" t="s">
        <v>75</v>
      </c>
      <c r="C17" s="324" t="s">
        <v>192</v>
      </c>
      <c r="D17" s="324"/>
      <c r="E17" s="324"/>
      <c r="F17" s="324"/>
      <c r="G17" s="324"/>
      <c r="H17" s="20" t="s">
        <v>174</v>
      </c>
      <c r="I17" s="96" t="str">
        <f t="shared" si="0"/>
        <v/>
      </c>
      <c r="J17" s="28"/>
    </row>
    <row r="18" spans="1:11" ht="31.5" customHeight="1" thickBot="1">
      <c r="A18" s="391"/>
      <c r="B18" s="18" t="s">
        <v>76</v>
      </c>
      <c r="C18" s="330" t="s">
        <v>144</v>
      </c>
      <c r="D18" s="330"/>
      <c r="E18" s="330"/>
      <c r="F18" s="330"/>
      <c r="G18" s="330"/>
      <c r="H18" s="22" t="s">
        <v>174</v>
      </c>
      <c r="I18" s="103" t="str">
        <f t="shared" si="0"/>
        <v/>
      </c>
      <c r="J18" s="30"/>
    </row>
    <row r="19" spans="1:11" ht="11.25" customHeight="1" thickBot="1">
      <c r="A19" s="1"/>
      <c r="B19" s="1"/>
      <c r="C19" s="1"/>
      <c r="D19" s="1"/>
      <c r="E19" s="1"/>
      <c r="F19" s="1"/>
      <c r="G19" s="1"/>
      <c r="H19" s="1"/>
      <c r="I19" s="24"/>
    </row>
    <row r="20" spans="1:11" s="14" customFormat="1" ht="60" customHeight="1">
      <c r="A20" s="403" t="s">
        <v>12</v>
      </c>
      <c r="B20" s="15" t="s">
        <v>77</v>
      </c>
      <c r="C20" s="409" t="s">
        <v>47</v>
      </c>
      <c r="D20" s="410"/>
      <c r="E20" s="410"/>
      <c r="F20" s="410"/>
      <c r="G20" s="411"/>
      <c r="H20" s="19" t="s">
        <v>174</v>
      </c>
      <c r="I20" s="7" t="str">
        <f t="shared" ref="I20:I79" si="1">IF(H20="Yes",2,IF(H20="No",0,IF(H20="N/A",2,"")))</f>
        <v/>
      </c>
      <c r="J20" s="26"/>
    </row>
    <row r="21" spans="1:11" s="14" customFormat="1" ht="31.5" customHeight="1">
      <c r="A21" s="404"/>
      <c r="B21" s="16" t="s">
        <v>78</v>
      </c>
      <c r="C21" s="348" t="s">
        <v>44</v>
      </c>
      <c r="D21" s="349"/>
      <c r="E21" s="349"/>
      <c r="F21" s="349"/>
      <c r="G21" s="350"/>
      <c r="H21" s="67" t="s">
        <v>193</v>
      </c>
      <c r="I21" s="2">
        <f t="shared" si="1"/>
        <v>0</v>
      </c>
      <c r="J21" s="28"/>
    </row>
    <row r="22" spans="1:11" s="14" customFormat="1" ht="43.5" customHeight="1">
      <c r="A22" s="404"/>
      <c r="B22" s="17" t="s">
        <v>79</v>
      </c>
      <c r="C22" s="351" t="s">
        <v>140</v>
      </c>
      <c r="D22" s="352"/>
      <c r="E22" s="352"/>
      <c r="F22" s="352"/>
      <c r="G22" s="353"/>
      <c r="H22" s="21" t="s">
        <v>174</v>
      </c>
      <c r="I22" s="3" t="str">
        <f t="shared" si="1"/>
        <v/>
      </c>
      <c r="J22" s="29"/>
    </row>
    <row r="23" spans="1:11" s="14" customFormat="1" ht="31.5" customHeight="1">
      <c r="A23" s="404"/>
      <c r="B23" s="16" t="s">
        <v>80</v>
      </c>
      <c r="C23" s="348" t="s">
        <v>179</v>
      </c>
      <c r="D23" s="349"/>
      <c r="E23" s="349"/>
      <c r="F23" s="349"/>
      <c r="G23" s="350"/>
      <c r="H23" s="67" t="s">
        <v>193</v>
      </c>
      <c r="I23" s="2">
        <f t="shared" si="1"/>
        <v>0</v>
      </c>
      <c r="J23" s="28"/>
    </row>
    <row r="24" spans="1:11" s="14" customFormat="1" ht="34.5" customHeight="1" thickBot="1">
      <c r="A24" s="405"/>
      <c r="B24" s="18" t="s">
        <v>172</v>
      </c>
      <c r="C24" s="406" t="s">
        <v>182</v>
      </c>
      <c r="D24" s="407"/>
      <c r="E24" s="407"/>
      <c r="F24" s="407"/>
      <c r="G24" s="408"/>
      <c r="H24" s="22" t="s">
        <v>174</v>
      </c>
      <c r="I24" s="2" t="str">
        <f t="shared" si="1"/>
        <v/>
      </c>
      <c r="J24" s="30"/>
    </row>
    <row r="25" spans="1:11" ht="11.25" customHeight="1" thickBot="1">
      <c r="A25" s="52"/>
      <c r="B25" s="52"/>
      <c r="C25" s="52"/>
      <c r="D25" s="52"/>
      <c r="E25" s="52"/>
      <c r="F25" s="52"/>
      <c r="G25" s="52"/>
      <c r="H25" s="52"/>
      <c r="I25" s="52"/>
      <c r="J25" s="55"/>
    </row>
    <row r="26" spans="1:11" ht="42.75" customHeight="1">
      <c r="A26" s="418" t="s">
        <v>30</v>
      </c>
      <c r="B26" s="15" t="s">
        <v>87</v>
      </c>
      <c r="C26" s="323" t="s">
        <v>141</v>
      </c>
      <c r="D26" s="323"/>
      <c r="E26" s="323"/>
      <c r="F26" s="323"/>
      <c r="G26" s="323"/>
      <c r="H26" s="19" t="s">
        <v>174</v>
      </c>
      <c r="I26" s="7" t="str">
        <f>IF(H26="Yes",2,IF(H26="No",0,IF(H26="N/A",2,"")))</f>
        <v/>
      </c>
      <c r="J26" s="32"/>
    </row>
    <row r="27" spans="1:11" ht="34.5" customHeight="1">
      <c r="A27" s="401"/>
      <c r="B27" s="16" t="s">
        <v>88</v>
      </c>
      <c r="C27" s="357" t="s">
        <v>183</v>
      </c>
      <c r="D27" s="358"/>
      <c r="E27" s="358"/>
      <c r="F27" s="358"/>
      <c r="G27" s="359"/>
      <c r="H27" s="67" t="s">
        <v>174</v>
      </c>
      <c r="I27" s="2" t="str">
        <f>IF(H27="Yes",2,IF(H27="No",0,IF(H27="N/A",2,"")))</f>
        <v/>
      </c>
      <c r="J27" s="33"/>
    </row>
    <row r="28" spans="1:11" ht="66.75" customHeight="1" thickBot="1">
      <c r="A28" s="401"/>
      <c r="B28" s="40" t="s">
        <v>89</v>
      </c>
      <c r="C28" s="341" t="s">
        <v>145</v>
      </c>
      <c r="D28" s="341"/>
      <c r="E28" s="341"/>
      <c r="F28" s="341"/>
      <c r="G28" s="341"/>
      <c r="H28" s="79" t="s">
        <v>174</v>
      </c>
      <c r="I28" s="80" t="str">
        <f>IF(H28="Yes",2,IF(H28="No",0,IF(H28="N/A",2,"")))</f>
        <v/>
      </c>
      <c r="J28" s="115"/>
    </row>
    <row r="29" spans="1:11" ht="15" customHeight="1" thickBot="1">
      <c r="A29" s="419"/>
      <c r="B29" s="420"/>
      <c r="C29" s="420"/>
      <c r="D29" s="420"/>
      <c r="E29" s="420"/>
      <c r="F29" s="420"/>
      <c r="G29" s="420"/>
      <c r="H29" s="420"/>
      <c r="I29" s="420"/>
      <c r="J29" s="420"/>
      <c r="K29" s="421"/>
    </row>
    <row r="30" spans="1:11" ht="54" customHeight="1">
      <c r="A30" s="401" t="s">
        <v>184</v>
      </c>
      <c r="B30" s="104" t="s">
        <v>90</v>
      </c>
      <c r="C30" s="415" t="s">
        <v>185</v>
      </c>
      <c r="D30" s="416"/>
      <c r="E30" s="416"/>
      <c r="F30" s="416"/>
      <c r="G30" s="417"/>
      <c r="H30" s="105" t="s">
        <v>174</v>
      </c>
      <c r="I30" s="116" t="str">
        <f>IF(H30="Yes",2,IF(H30="No",0,IF(H30="N/A",2,"")))</f>
        <v/>
      </c>
      <c r="J30" s="117"/>
    </row>
    <row r="31" spans="1:11" ht="54" customHeight="1" thickBot="1">
      <c r="A31" s="401"/>
      <c r="B31" s="118" t="s">
        <v>91</v>
      </c>
      <c r="C31" s="363" t="s">
        <v>191</v>
      </c>
      <c r="D31" s="364"/>
      <c r="E31" s="364"/>
      <c r="F31" s="364"/>
      <c r="G31" s="365"/>
      <c r="H31" s="119" t="s">
        <v>194</v>
      </c>
      <c r="I31" s="120" t="str">
        <f>IF(H31="Yes",2,IF(H31="No",0,IF(H31="N/A",2,"")))</f>
        <v/>
      </c>
      <c r="J31" s="121"/>
    </row>
    <row r="32" spans="1:11" ht="9.75" customHeight="1" thickBot="1">
      <c r="A32" s="419"/>
      <c r="B32" s="420"/>
      <c r="C32" s="420"/>
      <c r="D32" s="420"/>
      <c r="E32" s="420"/>
      <c r="F32" s="420"/>
      <c r="G32" s="420"/>
      <c r="H32" s="420"/>
      <c r="I32" s="420"/>
      <c r="J32" s="421"/>
    </row>
    <row r="33" spans="1:10" s="14" customFormat="1" ht="36.75" customHeight="1">
      <c r="A33" s="422" t="s">
        <v>31</v>
      </c>
      <c r="B33" s="62" t="s">
        <v>81</v>
      </c>
      <c r="C33" s="323" t="s">
        <v>186</v>
      </c>
      <c r="D33" s="323"/>
      <c r="E33" s="323"/>
      <c r="F33" s="323"/>
      <c r="G33" s="323"/>
      <c r="H33" s="19" t="s">
        <v>174</v>
      </c>
      <c r="I33" s="7" t="str">
        <f t="shared" ref="I33:I43" si="2">IF(H33="Yes",2,IF(H33="No",0,IF(H33="N/A",2,"")))</f>
        <v/>
      </c>
      <c r="J33" s="26"/>
    </row>
    <row r="34" spans="1:10" s="14" customFormat="1" ht="48.75" customHeight="1">
      <c r="A34" s="423"/>
      <c r="B34" s="63" t="s">
        <v>82</v>
      </c>
      <c r="C34" s="324" t="s">
        <v>142</v>
      </c>
      <c r="D34" s="324"/>
      <c r="E34" s="324"/>
      <c r="F34" s="324"/>
      <c r="G34" s="324"/>
      <c r="H34" s="67" t="s">
        <v>174</v>
      </c>
      <c r="I34" s="2" t="str">
        <f t="shared" si="2"/>
        <v/>
      </c>
      <c r="J34" s="28"/>
    </row>
    <row r="35" spans="1:10" s="14" customFormat="1" ht="36.75" customHeight="1">
      <c r="A35" s="423"/>
      <c r="B35" s="64" t="s">
        <v>83</v>
      </c>
      <c r="C35" s="333" t="s">
        <v>187</v>
      </c>
      <c r="D35" s="333"/>
      <c r="E35" s="333"/>
      <c r="F35" s="333"/>
      <c r="G35" s="333"/>
      <c r="H35" s="21" t="s">
        <v>174</v>
      </c>
      <c r="I35" s="3" t="str">
        <f t="shared" si="2"/>
        <v/>
      </c>
      <c r="J35" s="114"/>
    </row>
    <row r="36" spans="1:10" s="14" customFormat="1" ht="36.75" customHeight="1">
      <c r="A36" s="423"/>
      <c r="B36" s="63" t="s">
        <v>84</v>
      </c>
      <c r="C36" s="324" t="s">
        <v>180</v>
      </c>
      <c r="D36" s="324"/>
      <c r="E36" s="324"/>
      <c r="F36" s="324"/>
      <c r="G36" s="324"/>
      <c r="H36" s="67" t="s">
        <v>194</v>
      </c>
      <c r="I36" s="2" t="str">
        <f t="shared" si="2"/>
        <v/>
      </c>
      <c r="J36" s="28"/>
    </row>
    <row r="37" spans="1:10" s="14" customFormat="1" ht="36.75" customHeight="1">
      <c r="A37" s="423"/>
      <c r="B37" s="64" t="s">
        <v>85</v>
      </c>
      <c r="C37" s="333" t="s">
        <v>46</v>
      </c>
      <c r="D37" s="333"/>
      <c r="E37" s="333"/>
      <c r="F37" s="333"/>
      <c r="G37" s="333"/>
      <c r="H37" s="21" t="s">
        <v>174</v>
      </c>
      <c r="I37" s="3" t="str">
        <f t="shared" si="2"/>
        <v/>
      </c>
      <c r="J37" s="29"/>
    </row>
    <row r="38" spans="1:10" s="14" customFormat="1" ht="42" customHeight="1" thickBot="1">
      <c r="A38" s="424"/>
      <c r="B38" s="63" t="s">
        <v>86</v>
      </c>
      <c r="C38" s="324" t="s">
        <v>175</v>
      </c>
      <c r="D38" s="324"/>
      <c r="E38" s="324"/>
      <c r="F38" s="324"/>
      <c r="G38" s="324"/>
      <c r="H38" s="70" t="s">
        <v>174</v>
      </c>
      <c r="I38" s="69" t="str">
        <f t="shared" si="2"/>
        <v/>
      </c>
      <c r="J38" s="31"/>
    </row>
    <row r="39" spans="1:10" ht="11.25" customHeight="1" thickBot="1">
      <c r="A39" s="52"/>
      <c r="B39" s="52"/>
      <c r="C39" s="52"/>
      <c r="D39" s="52"/>
      <c r="E39" s="52"/>
      <c r="F39" s="52"/>
      <c r="G39" s="52"/>
      <c r="H39" s="52"/>
      <c r="I39" s="52"/>
      <c r="J39" s="55"/>
    </row>
    <row r="40" spans="1:10" s="14" customFormat="1" ht="42" customHeight="1">
      <c r="A40" s="422" t="s">
        <v>153</v>
      </c>
      <c r="B40" s="15" t="s">
        <v>148</v>
      </c>
      <c r="C40" s="323" t="s">
        <v>188</v>
      </c>
      <c r="D40" s="323"/>
      <c r="E40" s="323"/>
      <c r="F40" s="323"/>
      <c r="G40" s="323"/>
      <c r="H40" s="19" t="s">
        <v>193</v>
      </c>
      <c r="I40" s="7">
        <f t="shared" si="2"/>
        <v>0</v>
      </c>
      <c r="J40" s="32"/>
    </row>
    <row r="41" spans="1:10" s="14" customFormat="1" ht="36.75" customHeight="1">
      <c r="A41" s="423"/>
      <c r="B41" s="65" t="s">
        <v>150</v>
      </c>
      <c r="C41" s="327" t="s">
        <v>189</v>
      </c>
      <c r="D41" s="328"/>
      <c r="E41" s="328"/>
      <c r="F41" s="328"/>
      <c r="G41" s="329"/>
      <c r="H41" s="67" t="s">
        <v>174</v>
      </c>
      <c r="I41" s="2" t="str">
        <f t="shared" si="2"/>
        <v/>
      </c>
      <c r="J41" s="28"/>
    </row>
    <row r="42" spans="1:10" s="14" customFormat="1" ht="39" customHeight="1">
      <c r="A42" s="423"/>
      <c r="B42" s="64" t="s">
        <v>151</v>
      </c>
      <c r="C42" s="351" t="s">
        <v>164</v>
      </c>
      <c r="D42" s="352"/>
      <c r="E42" s="352"/>
      <c r="F42" s="352"/>
      <c r="G42" s="353"/>
      <c r="H42" s="21" t="s">
        <v>174</v>
      </c>
      <c r="I42" s="3" t="str">
        <f t="shared" si="2"/>
        <v/>
      </c>
      <c r="J42" s="114"/>
    </row>
    <row r="43" spans="1:10" s="14" customFormat="1" ht="53.25" customHeight="1" thickBot="1">
      <c r="A43" s="424"/>
      <c r="B43" s="63" t="s">
        <v>152</v>
      </c>
      <c r="C43" s="324" t="s">
        <v>190</v>
      </c>
      <c r="D43" s="324"/>
      <c r="E43" s="324"/>
      <c r="F43" s="324"/>
      <c r="G43" s="324"/>
      <c r="H43" s="70" t="s">
        <v>174</v>
      </c>
      <c r="I43" s="69" t="str">
        <f t="shared" si="2"/>
        <v/>
      </c>
      <c r="J43" s="31"/>
    </row>
    <row r="44" spans="1:10" ht="11.25" customHeight="1" thickBot="1">
      <c r="A44" s="52"/>
      <c r="B44" s="52"/>
      <c r="C44" s="52"/>
      <c r="D44" s="52"/>
      <c r="E44" s="52"/>
      <c r="F44" s="52"/>
      <c r="G44" s="52"/>
      <c r="H44" s="52"/>
      <c r="I44" s="52"/>
      <c r="J44" s="55"/>
    </row>
    <row r="45" spans="1:10" ht="36.75" customHeight="1">
      <c r="A45" s="401" t="s">
        <v>92</v>
      </c>
      <c r="B45" s="56" t="s">
        <v>93</v>
      </c>
      <c r="C45" s="336" t="s">
        <v>48</v>
      </c>
      <c r="D45" s="336"/>
      <c r="E45" s="336"/>
      <c r="F45" s="336"/>
      <c r="G45" s="336"/>
      <c r="H45" s="19" t="s">
        <v>174</v>
      </c>
      <c r="I45" s="7" t="str">
        <f t="shared" si="1"/>
        <v/>
      </c>
      <c r="J45" s="72"/>
    </row>
    <row r="46" spans="1:10" ht="36.75" customHeight="1">
      <c r="A46" s="401"/>
      <c r="B46" s="16" t="s">
        <v>94</v>
      </c>
      <c r="C46" s="324" t="s">
        <v>13</v>
      </c>
      <c r="D46" s="324"/>
      <c r="E46" s="324"/>
      <c r="F46" s="324"/>
      <c r="G46" s="324"/>
      <c r="H46" s="67" t="s">
        <v>174</v>
      </c>
      <c r="I46" s="2" t="str">
        <f t="shared" si="1"/>
        <v/>
      </c>
      <c r="J46" s="28"/>
    </row>
    <row r="47" spans="1:10" ht="36.75" customHeight="1">
      <c r="A47" s="401"/>
      <c r="B47" s="17" t="s">
        <v>95</v>
      </c>
      <c r="C47" s="333" t="s">
        <v>168</v>
      </c>
      <c r="D47" s="333"/>
      <c r="E47" s="333"/>
      <c r="F47" s="333"/>
      <c r="G47" s="333"/>
      <c r="H47" s="21" t="s">
        <v>174</v>
      </c>
      <c r="I47" s="3" t="str">
        <f t="shared" si="1"/>
        <v/>
      </c>
      <c r="J47" s="29"/>
    </row>
    <row r="48" spans="1:10" ht="36.75" customHeight="1">
      <c r="A48" s="401"/>
      <c r="B48" s="46" t="s">
        <v>96</v>
      </c>
      <c r="C48" s="344" t="s">
        <v>18</v>
      </c>
      <c r="D48" s="344"/>
      <c r="E48" s="344"/>
      <c r="F48" s="344"/>
      <c r="G48" s="344"/>
      <c r="H48" s="67" t="s">
        <v>174</v>
      </c>
      <c r="I48" s="2" t="str">
        <f t="shared" si="1"/>
        <v/>
      </c>
      <c r="J48" s="47"/>
    </row>
    <row r="49" spans="1:10" ht="36.75" customHeight="1">
      <c r="A49" s="401"/>
      <c r="B49" s="41" t="s">
        <v>97</v>
      </c>
      <c r="C49" s="326" t="s">
        <v>14</v>
      </c>
      <c r="D49" s="326"/>
      <c r="E49" s="326"/>
      <c r="F49" s="326"/>
      <c r="G49" s="326"/>
      <c r="H49" s="21" t="s">
        <v>174</v>
      </c>
      <c r="I49" s="3" t="str">
        <f t="shared" si="1"/>
        <v/>
      </c>
      <c r="J49" s="42"/>
    </row>
    <row r="50" spans="1:10" ht="36.75" customHeight="1">
      <c r="A50" s="401"/>
      <c r="B50" s="16" t="s">
        <v>98</v>
      </c>
      <c r="C50" s="324" t="s">
        <v>15</v>
      </c>
      <c r="D50" s="324"/>
      <c r="E50" s="324"/>
      <c r="F50" s="324"/>
      <c r="G50" s="324"/>
      <c r="H50" s="67" t="s">
        <v>174</v>
      </c>
      <c r="I50" s="2" t="str">
        <f t="shared" si="1"/>
        <v/>
      </c>
      <c r="J50" s="28"/>
    </row>
    <row r="51" spans="1:10" ht="36.75" customHeight="1">
      <c r="A51" s="401"/>
      <c r="B51" s="17" t="s">
        <v>99</v>
      </c>
      <c r="C51" s="333" t="s">
        <v>49</v>
      </c>
      <c r="D51" s="333"/>
      <c r="E51" s="333"/>
      <c r="F51" s="333"/>
      <c r="G51" s="333"/>
      <c r="H51" s="21" t="s">
        <v>174</v>
      </c>
      <c r="I51" s="3" t="str">
        <f t="shared" si="1"/>
        <v/>
      </c>
      <c r="J51" s="114"/>
    </row>
    <row r="52" spans="1:10" ht="36.75" customHeight="1">
      <c r="A52" s="401"/>
      <c r="B52" s="53" t="s">
        <v>100</v>
      </c>
      <c r="C52" s="325" t="s">
        <v>16</v>
      </c>
      <c r="D52" s="325"/>
      <c r="E52" s="325"/>
      <c r="F52" s="325"/>
      <c r="G52" s="325"/>
      <c r="H52" s="67" t="s">
        <v>174</v>
      </c>
      <c r="I52" s="2" t="str">
        <f t="shared" si="1"/>
        <v/>
      </c>
      <c r="J52" s="54"/>
    </row>
    <row r="53" spans="1:10" ht="36.75" customHeight="1">
      <c r="A53" s="401"/>
      <c r="B53" s="94" t="s">
        <v>101</v>
      </c>
      <c r="C53" s="332" t="s">
        <v>17</v>
      </c>
      <c r="D53" s="332"/>
      <c r="E53" s="332"/>
      <c r="F53" s="332"/>
      <c r="G53" s="332"/>
      <c r="H53" s="79" t="s">
        <v>174</v>
      </c>
      <c r="I53" s="80" t="str">
        <f t="shared" ref="I53" si="3">IF(H53="Yes",2,IF(H53="No",0,IF(H53="N/A",2,"")))</f>
        <v/>
      </c>
      <c r="J53" s="88"/>
    </row>
    <row r="54" spans="1:10" ht="36.75" customHeight="1" thickBot="1">
      <c r="A54" s="402"/>
      <c r="B54" s="89" t="s">
        <v>166</v>
      </c>
      <c r="C54" s="356" t="s">
        <v>167</v>
      </c>
      <c r="D54" s="356"/>
      <c r="E54" s="356"/>
      <c r="F54" s="356"/>
      <c r="G54" s="356"/>
      <c r="H54" s="90" t="s">
        <v>174</v>
      </c>
      <c r="I54" s="69" t="str">
        <f t="shared" si="1"/>
        <v/>
      </c>
      <c r="J54" s="31"/>
    </row>
    <row r="55" spans="1:10" ht="11.25" customHeight="1" thickBot="1">
      <c r="A55" s="1"/>
      <c r="B55" s="1"/>
      <c r="C55" s="1"/>
      <c r="D55" s="1"/>
      <c r="E55" s="1"/>
      <c r="F55" s="1"/>
      <c r="G55" s="1"/>
      <c r="H55" s="1"/>
      <c r="I55" s="1"/>
    </row>
    <row r="56" spans="1:10" ht="42.75" customHeight="1">
      <c r="A56" s="398" t="s">
        <v>32</v>
      </c>
      <c r="B56" s="15" t="s">
        <v>102</v>
      </c>
      <c r="C56" s="323" t="s">
        <v>19</v>
      </c>
      <c r="D56" s="323"/>
      <c r="E56" s="323"/>
      <c r="F56" s="323"/>
      <c r="G56" s="323"/>
      <c r="H56" s="19" t="s">
        <v>174</v>
      </c>
      <c r="I56" s="7" t="str">
        <f>IF(H56="Yes",6,IF(H56="No",0,IF(H56="N/A",6,"")))</f>
        <v/>
      </c>
      <c r="J56" s="35"/>
    </row>
    <row r="57" spans="1:10" ht="39.75" customHeight="1">
      <c r="A57" s="399"/>
      <c r="B57" s="48" t="s">
        <v>103</v>
      </c>
      <c r="C57" s="412" t="s">
        <v>50</v>
      </c>
      <c r="D57" s="413"/>
      <c r="E57" s="413"/>
      <c r="F57" s="413"/>
      <c r="G57" s="414"/>
      <c r="H57" s="67" t="s">
        <v>174</v>
      </c>
      <c r="I57" s="2" t="str">
        <f t="shared" si="1"/>
        <v/>
      </c>
      <c r="J57" s="49"/>
    </row>
    <row r="58" spans="1:10" ht="42.75" customHeight="1">
      <c r="A58" s="399"/>
      <c r="B58" s="41" t="s">
        <v>104</v>
      </c>
      <c r="C58" s="326" t="s">
        <v>51</v>
      </c>
      <c r="D58" s="326"/>
      <c r="E58" s="326"/>
      <c r="F58" s="326"/>
      <c r="G58" s="326"/>
      <c r="H58" s="21" t="s">
        <v>174</v>
      </c>
      <c r="I58" s="3" t="str">
        <f t="shared" si="1"/>
        <v/>
      </c>
      <c r="J58" s="43"/>
    </row>
    <row r="59" spans="1:10" ht="42.75" customHeight="1">
      <c r="A59" s="399"/>
      <c r="B59" s="46" t="s">
        <v>105</v>
      </c>
      <c r="C59" s="344" t="s">
        <v>52</v>
      </c>
      <c r="D59" s="344"/>
      <c r="E59" s="344"/>
      <c r="F59" s="344"/>
      <c r="G59" s="344"/>
      <c r="H59" s="67" t="s">
        <v>174</v>
      </c>
      <c r="I59" s="2" t="str">
        <f>IF(H59="Yes",2,IF(H59="No",0,IF(H59="N/A",2,"")))</f>
        <v/>
      </c>
      <c r="J59" s="49"/>
    </row>
    <row r="60" spans="1:10" ht="42.75" customHeight="1">
      <c r="A60" s="399"/>
      <c r="B60" s="40" t="s">
        <v>106</v>
      </c>
      <c r="C60" s="345" t="s">
        <v>147</v>
      </c>
      <c r="D60" s="346"/>
      <c r="E60" s="346"/>
      <c r="F60" s="346"/>
      <c r="G60" s="347"/>
      <c r="H60" s="21" t="s">
        <v>174</v>
      </c>
      <c r="I60" s="3" t="str">
        <f t="shared" si="1"/>
        <v/>
      </c>
      <c r="J60" s="73"/>
    </row>
    <row r="61" spans="1:10" ht="42.75" customHeight="1">
      <c r="A61" s="399"/>
      <c r="B61" s="50" t="s">
        <v>107</v>
      </c>
      <c r="C61" s="412" t="s">
        <v>53</v>
      </c>
      <c r="D61" s="413"/>
      <c r="E61" s="413"/>
      <c r="F61" s="413"/>
      <c r="G61" s="414"/>
      <c r="H61" s="67" t="s">
        <v>174</v>
      </c>
      <c r="I61" s="2" t="str">
        <f t="shared" si="1"/>
        <v/>
      </c>
      <c r="J61" s="49"/>
    </row>
    <row r="62" spans="1:10" ht="42.75" customHeight="1" thickBot="1">
      <c r="A62" s="400"/>
      <c r="B62" s="18" t="s">
        <v>108</v>
      </c>
      <c r="C62" s="330" t="s">
        <v>54</v>
      </c>
      <c r="D62" s="330"/>
      <c r="E62" s="330"/>
      <c r="F62" s="330"/>
      <c r="G62" s="330"/>
      <c r="H62" s="22" t="s">
        <v>174</v>
      </c>
      <c r="I62" s="71" t="str">
        <f t="shared" si="1"/>
        <v/>
      </c>
      <c r="J62" s="36"/>
    </row>
    <row r="63" spans="1:10" ht="11.25" customHeight="1" thickBot="1">
      <c r="A63" s="1"/>
      <c r="B63" s="1"/>
      <c r="C63" s="1"/>
      <c r="D63" s="1"/>
      <c r="E63" s="1"/>
      <c r="F63" s="1"/>
      <c r="G63" s="1"/>
      <c r="H63" s="1"/>
      <c r="I63" s="1"/>
    </row>
    <row r="64" spans="1:10" ht="42.75" customHeight="1">
      <c r="A64" s="398" t="s">
        <v>60</v>
      </c>
      <c r="B64" s="15" t="s">
        <v>109</v>
      </c>
      <c r="C64" s="323" t="s">
        <v>61</v>
      </c>
      <c r="D64" s="323"/>
      <c r="E64" s="323"/>
      <c r="F64" s="323"/>
      <c r="G64" s="323"/>
      <c r="H64" s="19" t="s">
        <v>194</v>
      </c>
      <c r="I64" s="7" t="str">
        <f t="shared" si="1"/>
        <v/>
      </c>
      <c r="J64" s="32"/>
    </row>
    <row r="65" spans="1:10" ht="34.5" customHeight="1">
      <c r="A65" s="399"/>
      <c r="B65" s="16" t="s">
        <v>110</v>
      </c>
      <c r="C65" s="324" t="s">
        <v>62</v>
      </c>
      <c r="D65" s="324"/>
      <c r="E65" s="324"/>
      <c r="F65" s="324"/>
      <c r="G65" s="324"/>
      <c r="H65" s="67" t="s">
        <v>194</v>
      </c>
      <c r="I65" s="2" t="str">
        <f t="shared" si="1"/>
        <v/>
      </c>
      <c r="J65" s="33"/>
    </row>
    <row r="66" spans="1:10" ht="45.75" customHeight="1">
      <c r="A66" s="399"/>
      <c r="B66" s="17" t="s">
        <v>111</v>
      </c>
      <c r="C66" s="333" t="s">
        <v>63</v>
      </c>
      <c r="D66" s="333"/>
      <c r="E66" s="333"/>
      <c r="F66" s="333"/>
      <c r="G66" s="333"/>
      <c r="H66" s="21" t="s">
        <v>174</v>
      </c>
      <c r="I66" s="3" t="str">
        <f t="shared" si="1"/>
        <v/>
      </c>
      <c r="J66" s="34"/>
    </row>
    <row r="67" spans="1:10" ht="45.75" customHeight="1">
      <c r="A67" s="399"/>
      <c r="B67" s="93" t="s">
        <v>112</v>
      </c>
      <c r="C67" s="331" t="s">
        <v>64</v>
      </c>
      <c r="D67" s="331"/>
      <c r="E67" s="331"/>
      <c r="F67" s="331"/>
      <c r="G67" s="331"/>
      <c r="H67" s="86" t="s">
        <v>174</v>
      </c>
      <c r="I67" s="87" t="str">
        <f>IF(H67="Yes",2,IF(H67="No",0,IF(H67="N/A",2,"")))</f>
        <v/>
      </c>
      <c r="J67" s="91"/>
    </row>
    <row r="68" spans="1:10" ht="37.5" customHeight="1" thickBot="1">
      <c r="A68" s="400"/>
      <c r="B68" s="85" t="s">
        <v>162</v>
      </c>
      <c r="C68" s="373" t="s">
        <v>163</v>
      </c>
      <c r="D68" s="373"/>
      <c r="E68" s="373"/>
      <c r="F68" s="373"/>
      <c r="G68" s="373"/>
      <c r="H68" s="82" t="s">
        <v>174</v>
      </c>
      <c r="I68" s="83" t="str">
        <f>IF(H68="Yes",2,IF(H68="No",0,IF(H68="N/A",2,"")))</f>
        <v/>
      </c>
      <c r="J68" s="92"/>
    </row>
    <row r="69" spans="1:10" ht="11.25" customHeight="1" thickBot="1">
      <c r="A69" s="57"/>
      <c r="B69" s="52"/>
      <c r="C69" s="52"/>
      <c r="D69" s="52"/>
      <c r="E69" s="52"/>
      <c r="F69" s="52"/>
      <c r="G69" s="52"/>
      <c r="H69" s="52"/>
      <c r="I69" s="52"/>
      <c r="J69" s="55"/>
    </row>
    <row r="70" spans="1:10" ht="34.5" customHeight="1">
      <c r="A70" s="389" t="s">
        <v>33</v>
      </c>
      <c r="B70" s="74" t="s">
        <v>113</v>
      </c>
      <c r="C70" s="336" t="s">
        <v>55</v>
      </c>
      <c r="D70" s="336"/>
      <c r="E70" s="336"/>
      <c r="F70" s="336"/>
      <c r="G70" s="336"/>
      <c r="H70" s="19" t="s">
        <v>174</v>
      </c>
      <c r="I70" s="7" t="str">
        <f t="shared" si="1"/>
        <v/>
      </c>
      <c r="J70" s="113"/>
    </row>
    <row r="71" spans="1:10" ht="34.5" customHeight="1">
      <c r="A71" s="390"/>
      <c r="B71" s="53" t="s">
        <v>169</v>
      </c>
      <c r="C71" s="325" t="s">
        <v>65</v>
      </c>
      <c r="D71" s="325"/>
      <c r="E71" s="325"/>
      <c r="F71" s="325"/>
      <c r="G71" s="325"/>
      <c r="H71" s="67" t="s">
        <v>174</v>
      </c>
      <c r="I71" s="51" t="str">
        <f t="shared" si="1"/>
        <v/>
      </c>
      <c r="J71" s="66"/>
    </row>
    <row r="72" spans="1:10" ht="34.5" customHeight="1">
      <c r="A72" s="390"/>
      <c r="B72" s="59" t="s">
        <v>170</v>
      </c>
      <c r="C72" s="434" t="s">
        <v>66</v>
      </c>
      <c r="D72" s="434"/>
      <c r="E72" s="434"/>
      <c r="F72" s="434"/>
      <c r="G72" s="434"/>
      <c r="H72" s="21" t="s">
        <v>174</v>
      </c>
      <c r="I72" s="3" t="str">
        <f t="shared" si="1"/>
        <v/>
      </c>
      <c r="J72" s="75"/>
    </row>
    <row r="73" spans="1:10" ht="45.75" customHeight="1" thickBot="1">
      <c r="A73" s="391"/>
      <c r="B73" s="76" t="s">
        <v>149</v>
      </c>
      <c r="C73" s="433" t="s">
        <v>20</v>
      </c>
      <c r="D73" s="433"/>
      <c r="E73" s="433"/>
      <c r="F73" s="433"/>
      <c r="G73" s="433"/>
      <c r="H73" s="70" t="s">
        <v>174</v>
      </c>
      <c r="I73" s="69" t="str">
        <f t="shared" si="1"/>
        <v/>
      </c>
      <c r="J73" s="68"/>
    </row>
    <row r="74" spans="1:10" ht="11.25" customHeight="1" thickBot="1">
      <c r="A74" s="1"/>
      <c r="B74" s="1"/>
      <c r="C74" s="1"/>
      <c r="D74" s="1"/>
      <c r="E74" s="1"/>
      <c r="F74" s="1"/>
      <c r="G74" s="1"/>
      <c r="H74" s="1"/>
      <c r="I74" s="1"/>
    </row>
    <row r="75" spans="1:10" ht="31.5" customHeight="1">
      <c r="A75" s="389" t="s">
        <v>1</v>
      </c>
      <c r="B75" s="15" t="s">
        <v>114</v>
      </c>
      <c r="C75" s="323" t="s">
        <v>36</v>
      </c>
      <c r="D75" s="323"/>
      <c r="E75" s="323"/>
      <c r="F75" s="323"/>
      <c r="G75" s="323"/>
      <c r="H75" s="19" t="s">
        <v>174</v>
      </c>
      <c r="I75" s="7" t="str">
        <f t="shared" si="1"/>
        <v/>
      </c>
      <c r="J75" s="112"/>
    </row>
    <row r="76" spans="1:10" ht="36.75" customHeight="1">
      <c r="A76" s="390"/>
      <c r="B76" s="16" t="s">
        <v>115</v>
      </c>
      <c r="C76" s="324" t="s">
        <v>176</v>
      </c>
      <c r="D76" s="324"/>
      <c r="E76" s="324"/>
      <c r="F76" s="324"/>
      <c r="G76" s="324"/>
      <c r="H76" s="67" t="s">
        <v>174</v>
      </c>
      <c r="I76" s="2" t="str">
        <f t="shared" si="1"/>
        <v/>
      </c>
      <c r="J76" s="28"/>
    </row>
    <row r="77" spans="1:10" ht="31.5" customHeight="1">
      <c r="A77" s="390"/>
      <c r="B77" s="17" t="s">
        <v>116</v>
      </c>
      <c r="C77" s="333" t="s">
        <v>21</v>
      </c>
      <c r="D77" s="333"/>
      <c r="E77" s="333"/>
      <c r="F77" s="333"/>
      <c r="G77" s="333"/>
      <c r="H77" s="21" t="s">
        <v>174</v>
      </c>
      <c r="I77" s="3" t="str">
        <f t="shared" si="1"/>
        <v/>
      </c>
      <c r="J77" s="29"/>
    </row>
    <row r="78" spans="1:10" ht="31.5" customHeight="1">
      <c r="A78" s="390"/>
      <c r="B78" s="16" t="s">
        <v>117</v>
      </c>
      <c r="C78" s="324" t="s">
        <v>22</v>
      </c>
      <c r="D78" s="324"/>
      <c r="E78" s="324"/>
      <c r="F78" s="324"/>
      <c r="G78" s="324"/>
      <c r="H78" s="67" t="s">
        <v>174</v>
      </c>
      <c r="I78" s="2" t="str">
        <f t="shared" si="1"/>
        <v/>
      </c>
      <c r="J78" s="28"/>
    </row>
    <row r="79" spans="1:10" ht="47.25" customHeight="1">
      <c r="A79" s="390"/>
      <c r="B79" s="17" t="s">
        <v>118</v>
      </c>
      <c r="C79" s="333" t="s">
        <v>23</v>
      </c>
      <c r="D79" s="333"/>
      <c r="E79" s="333"/>
      <c r="F79" s="333"/>
      <c r="G79" s="333"/>
      <c r="H79" s="21" t="s">
        <v>174</v>
      </c>
      <c r="I79" s="3" t="str">
        <f t="shared" si="1"/>
        <v/>
      </c>
      <c r="J79" s="29"/>
    </row>
    <row r="80" spans="1:10" ht="31.5" customHeight="1">
      <c r="A80" s="390"/>
      <c r="B80" s="46" t="s">
        <v>119</v>
      </c>
      <c r="C80" s="344" t="s">
        <v>24</v>
      </c>
      <c r="D80" s="344"/>
      <c r="E80" s="344"/>
      <c r="F80" s="344"/>
      <c r="G80" s="344"/>
      <c r="H80" s="67" t="s">
        <v>174</v>
      </c>
      <c r="I80" s="2" t="str">
        <f t="shared" ref="I80:I96" si="4">IF(H80="Yes",2,IF(H80="No",0,IF(H80="N/A",2,"")))</f>
        <v/>
      </c>
      <c r="J80" s="47"/>
    </row>
    <row r="81" spans="1:10" ht="31.5" customHeight="1" thickBot="1">
      <c r="A81" s="391"/>
      <c r="B81" s="44" t="s">
        <v>120</v>
      </c>
      <c r="C81" s="397" t="s">
        <v>56</v>
      </c>
      <c r="D81" s="397"/>
      <c r="E81" s="397"/>
      <c r="F81" s="397"/>
      <c r="G81" s="397"/>
      <c r="H81" s="22" t="s">
        <v>174</v>
      </c>
      <c r="I81" s="71" t="str">
        <f t="shared" si="4"/>
        <v/>
      </c>
      <c r="J81" s="45"/>
    </row>
    <row r="82" spans="1:10" ht="11.25" customHeight="1" thickBot="1">
      <c r="A82" s="1"/>
      <c r="B82" s="1"/>
      <c r="C82" s="1"/>
      <c r="D82" s="1"/>
      <c r="E82" s="1"/>
      <c r="F82" s="1"/>
      <c r="G82" s="1"/>
      <c r="H82" s="1"/>
      <c r="I82" s="1"/>
    </row>
    <row r="83" spans="1:10" ht="39.75" customHeight="1">
      <c r="A83" s="403" t="s">
        <v>34</v>
      </c>
      <c r="B83" s="15" t="s">
        <v>121</v>
      </c>
      <c r="C83" s="323" t="s">
        <v>37</v>
      </c>
      <c r="D83" s="323"/>
      <c r="E83" s="323"/>
      <c r="F83" s="323"/>
      <c r="G83" s="323"/>
      <c r="H83" s="19" t="s">
        <v>193</v>
      </c>
      <c r="I83" s="7">
        <f t="shared" si="4"/>
        <v>0</v>
      </c>
      <c r="J83" s="26"/>
    </row>
    <row r="84" spans="1:10" ht="39.75" customHeight="1">
      <c r="A84" s="404"/>
      <c r="B84" s="50" t="s">
        <v>122</v>
      </c>
      <c r="C84" s="412" t="s">
        <v>59</v>
      </c>
      <c r="D84" s="413"/>
      <c r="E84" s="413"/>
      <c r="F84" s="413"/>
      <c r="G84" s="414"/>
      <c r="H84" s="67" t="s">
        <v>174</v>
      </c>
      <c r="I84" s="2" t="str">
        <f t="shared" si="4"/>
        <v/>
      </c>
      <c r="J84" s="47"/>
    </row>
    <row r="85" spans="1:10" ht="39.75" customHeight="1">
      <c r="A85" s="404"/>
      <c r="B85" s="17" t="s">
        <v>123</v>
      </c>
      <c r="C85" s="345" t="s">
        <v>58</v>
      </c>
      <c r="D85" s="346"/>
      <c r="E85" s="346"/>
      <c r="F85" s="346"/>
      <c r="G85" s="347"/>
      <c r="H85" s="21" t="s">
        <v>174</v>
      </c>
      <c r="I85" s="3" t="str">
        <f t="shared" si="4"/>
        <v/>
      </c>
      <c r="J85" s="29"/>
    </row>
    <row r="86" spans="1:10" ht="39.75" customHeight="1">
      <c r="A86" s="404"/>
      <c r="B86" s="93" t="s">
        <v>124</v>
      </c>
      <c r="C86" s="331" t="s">
        <v>57</v>
      </c>
      <c r="D86" s="331"/>
      <c r="E86" s="331"/>
      <c r="F86" s="331"/>
      <c r="G86" s="331"/>
      <c r="H86" s="86" t="s">
        <v>174</v>
      </c>
      <c r="I86" s="87" t="str">
        <f t="shared" ref="I86" si="5">IF(H86="Yes",2,IF(H86="No",0,IF(H86="N/A",2,"")))</f>
        <v/>
      </c>
      <c r="J86" s="81"/>
    </row>
    <row r="87" spans="1:10" ht="45" customHeight="1" thickBot="1">
      <c r="A87" s="405"/>
      <c r="B87" s="85" t="s">
        <v>165</v>
      </c>
      <c r="C87" s="373" t="s">
        <v>181</v>
      </c>
      <c r="D87" s="373"/>
      <c r="E87" s="373"/>
      <c r="F87" s="373"/>
      <c r="G87" s="373"/>
      <c r="H87" s="82" t="s">
        <v>174</v>
      </c>
      <c r="I87" s="83" t="str">
        <f t="shared" si="4"/>
        <v/>
      </c>
      <c r="J87" s="84"/>
    </row>
    <row r="88" spans="1:10" ht="11.25" customHeight="1" thickBot="1">
      <c r="A88" s="1"/>
      <c r="B88" s="1"/>
      <c r="C88" s="1"/>
      <c r="D88" s="1"/>
      <c r="E88" s="1"/>
      <c r="F88" s="1"/>
      <c r="G88" s="1"/>
      <c r="H88" s="1"/>
      <c r="I88" s="1"/>
    </row>
    <row r="89" spans="1:10" s="14" customFormat="1" ht="43.5" customHeight="1">
      <c r="A89" s="403" t="s">
        <v>35</v>
      </c>
      <c r="B89" s="15" t="s">
        <v>125</v>
      </c>
      <c r="C89" s="323" t="s">
        <v>177</v>
      </c>
      <c r="D89" s="323"/>
      <c r="E89" s="323"/>
      <c r="F89" s="323"/>
      <c r="G89" s="323"/>
      <c r="H89" s="19" t="s">
        <v>174</v>
      </c>
      <c r="I89" s="7" t="str">
        <f t="shared" si="4"/>
        <v/>
      </c>
      <c r="J89" s="26"/>
    </row>
    <row r="90" spans="1:10" s="14" customFormat="1" ht="31.5" customHeight="1">
      <c r="A90" s="404"/>
      <c r="B90" s="16" t="s">
        <v>126</v>
      </c>
      <c r="C90" s="324" t="s">
        <v>25</v>
      </c>
      <c r="D90" s="324"/>
      <c r="E90" s="324"/>
      <c r="F90" s="324"/>
      <c r="G90" s="324"/>
      <c r="H90" s="67" t="s">
        <v>174</v>
      </c>
      <c r="I90" s="2" t="str">
        <f t="shared" si="4"/>
        <v/>
      </c>
      <c r="J90" s="28"/>
    </row>
    <row r="91" spans="1:10" s="14" customFormat="1" ht="33" customHeight="1">
      <c r="A91" s="404"/>
      <c r="B91" s="17" t="s">
        <v>127</v>
      </c>
      <c r="C91" s="333" t="s">
        <v>26</v>
      </c>
      <c r="D91" s="333"/>
      <c r="E91" s="333"/>
      <c r="F91" s="333"/>
      <c r="G91" s="333"/>
      <c r="H91" s="21" t="s">
        <v>174</v>
      </c>
      <c r="I91" s="3" t="str">
        <f t="shared" si="4"/>
        <v/>
      </c>
      <c r="J91" s="29"/>
    </row>
    <row r="92" spans="1:10" s="14" customFormat="1" ht="31.5" customHeight="1">
      <c r="A92" s="404"/>
      <c r="B92" s="16" t="s">
        <v>128</v>
      </c>
      <c r="C92" s="324" t="s">
        <v>178</v>
      </c>
      <c r="D92" s="324"/>
      <c r="E92" s="324"/>
      <c r="F92" s="324"/>
      <c r="G92" s="324"/>
      <c r="H92" s="67" t="s">
        <v>174</v>
      </c>
      <c r="I92" s="2" t="str">
        <f t="shared" si="4"/>
        <v/>
      </c>
      <c r="J92" s="28"/>
    </row>
    <row r="93" spans="1:10" s="14" customFormat="1" ht="36.75" customHeight="1">
      <c r="A93" s="404"/>
      <c r="B93" s="17" t="s">
        <v>129</v>
      </c>
      <c r="C93" s="333" t="s">
        <v>27</v>
      </c>
      <c r="D93" s="333"/>
      <c r="E93" s="333"/>
      <c r="F93" s="333"/>
      <c r="G93" s="333"/>
      <c r="H93" s="21" t="s">
        <v>174</v>
      </c>
      <c r="I93" s="3" t="str">
        <f t="shared" si="4"/>
        <v/>
      </c>
      <c r="J93" s="29"/>
    </row>
    <row r="94" spans="1:10" s="14" customFormat="1" ht="32.25" customHeight="1">
      <c r="A94" s="404"/>
      <c r="B94" s="16" t="s">
        <v>130</v>
      </c>
      <c r="C94" s="324" t="s">
        <v>28</v>
      </c>
      <c r="D94" s="324"/>
      <c r="E94" s="324"/>
      <c r="F94" s="324"/>
      <c r="G94" s="324"/>
      <c r="H94" s="67" t="s">
        <v>174</v>
      </c>
      <c r="I94" s="2" t="str">
        <f t="shared" si="4"/>
        <v/>
      </c>
      <c r="J94" s="28"/>
    </row>
    <row r="95" spans="1:10" s="14" customFormat="1" ht="32.25" customHeight="1">
      <c r="A95" s="404"/>
      <c r="B95" s="59" t="s">
        <v>171</v>
      </c>
      <c r="C95" s="360" t="s">
        <v>45</v>
      </c>
      <c r="D95" s="361"/>
      <c r="E95" s="361"/>
      <c r="F95" s="361"/>
      <c r="G95" s="362"/>
      <c r="H95" s="77" t="s">
        <v>174</v>
      </c>
      <c r="I95" s="60" t="str">
        <f t="shared" si="4"/>
        <v/>
      </c>
      <c r="J95" s="61"/>
    </row>
    <row r="96" spans="1:10" s="14" customFormat="1" ht="34.5" customHeight="1" thickBot="1">
      <c r="A96" s="405"/>
      <c r="B96" s="58" t="s">
        <v>146</v>
      </c>
      <c r="C96" s="394" t="s">
        <v>29</v>
      </c>
      <c r="D96" s="394"/>
      <c r="E96" s="394"/>
      <c r="F96" s="394"/>
      <c r="G96" s="394"/>
      <c r="H96" s="70" t="s">
        <v>174</v>
      </c>
      <c r="I96" s="78" t="str">
        <f t="shared" si="4"/>
        <v/>
      </c>
      <c r="J96" s="111"/>
    </row>
    <row r="97" spans="1:10" ht="11.25" customHeight="1" thickBot="1">
      <c r="A97" s="1"/>
      <c r="B97" s="1"/>
      <c r="C97" s="1"/>
      <c r="D97" s="1"/>
      <c r="E97" s="1"/>
      <c r="F97" s="1"/>
      <c r="G97" s="1"/>
      <c r="H97" s="1"/>
      <c r="I97" s="24"/>
    </row>
    <row r="98" spans="1:10" ht="32.25" customHeight="1">
      <c r="A98" s="403" t="s">
        <v>132</v>
      </c>
      <c r="B98" s="15" t="s">
        <v>133</v>
      </c>
      <c r="C98" s="323"/>
      <c r="D98" s="323"/>
      <c r="E98" s="323"/>
      <c r="F98" s="323"/>
      <c r="G98" s="323"/>
      <c r="H98" s="19"/>
      <c r="I98" s="430"/>
      <c r="J98" s="26"/>
    </row>
    <row r="99" spans="1:10" ht="32.25" customHeight="1">
      <c r="A99" s="404"/>
      <c r="B99" s="16" t="s">
        <v>134</v>
      </c>
      <c r="C99" s="324"/>
      <c r="D99" s="324"/>
      <c r="E99" s="324"/>
      <c r="F99" s="324"/>
      <c r="G99" s="324"/>
      <c r="H99" s="67"/>
      <c r="I99" s="431"/>
      <c r="J99" s="28"/>
    </row>
    <row r="100" spans="1:10" ht="32.25" customHeight="1">
      <c r="A100" s="404"/>
      <c r="B100" s="17" t="s">
        <v>135</v>
      </c>
      <c r="C100" s="333"/>
      <c r="D100" s="333"/>
      <c r="E100" s="333"/>
      <c r="F100" s="333"/>
      <c r="G100" s="333"/>
      <c r="H100" s="21"/>
      <c r="I100" s="431"/>
      <c r="J100" s="29"/>
    </row>
    <row r="101" spans="1:10" ht="31.5" customHeight="1">
      <c r="A101" s="404"/>
      <c r="B101" s="16" t="s">
        <v>136</v>
      </c>
      <c r="C101" s="324"/>
      <c r="D101" s="324"/>
      <c r="E101" s="324"/>
      <c r="F101" s="324"/>
      <c r="G101" s="324"/>
      <c r="H101" s="67"/>
      <c r="I101" s="431"/>
      <c r="J101" s="28"/>
    </row>
    <row r="102" spans="1:10" ht="31.5" customHeight="1">
      <c r="A102" s="404"/>
      <c r="B102" s="17" t="s">
        <v>137</v>
      </c>
      <c r="C102" s="333"/>
      <c r="D102" s="333"/>
      <c r="E102" s="333"/>
      <c r="F102" s="333"/>
      <c r="G102" s="333"/>
      <c r="H102" s="21"/>
      <c r="I102" s="431"/>
      <c r="J102" s="29"/>
    </row>
    <row r="103" spans="1:10" ht="30.75" customHeight="1">
      <c r="A103" s="404"/>
      <c r="B103" s="16" t="s">
        <v>138</v>
      </c>
      <c r="C103" s="324"/>
      <c r="D103" s="324"/>
      <c r="E103" s="324"/>
      <c r="F103" s="324"/>
      <c r="G103" s="324"/>
      <c r="H103" s="67"/>
      <c r="I103" s="431"/>
      <c r="J103" s="28"/>
    </row>
    <row r="104" spans="1:10" ht="32.25" customHeight="1" thickBot="1">
      <c r="A104" s="405"/>
      <c r="B104" s="18" t="s">
        <v>139</v>
      </c>
      <c r="C104" s="330"/>
      <c r="D104" s="330"/>
      <c r="E104" s="330"/>
      <c r="F104" s="330"/>
      <c r="G104" s="330"/>
      <c r="H104" s="22"/>
      <c r="I104" s="432"/>
      <c r="J104" s="30"/>
    </row>
    <row r="105" spans="1:10" ht="15.75" customHeight="1">
      <c r="A105" s="1"/>
      <c r="B105" s="1"/>
      <c r="C105" s="106"/>
      <c r="D105" s="107"/>
      <c r="E105" s="106"/>
      <c r="F105" s="106"/>
      <c r="G105" s="106"/>
      <c r="H105" s="106"/>
      <c r="I105" s="108"/>
    </row>
    <row r="106" spans="1:10" ht="15.75" customHeight="1">
      <c r="A106" s="27"/>
      <c r="B106" s="27"/>
      <c r="C106" s="109"/>
      <c r="D106" s="110"/>
      <c r="E106" s="109"/>
      <c r="F106" s="109"/>
      <c r="G106" s="109"/>
      <c r="H106" s="109"/>
      <c r="I106" s="109"/>
    </row>
    <row r="107" spans="1:10" ht="15.75" customHeight="1" thickBot="1">
      <c r="A107" s="27"/>
      <c r="B107" s="27"/>
      <c r="C107" s="109"/>
      <c r="D107" s="110"/>
      <c r="E107" s="109"/>
      <c r="F107" s="109"/>
      <c r="G107" s="109"/>
      <c r="H107" s="109"/>
      <c r="I107" s="109"/>
    </row>
    <row r="108" spans="1:10" ht="15.75" customHeight="1" thickBot="1">
      <c r="A108" s="1"/>
      <c r="B108" s="376"/>
      <c r="C108" s="377"/>
      <c r="D108" s="8" t="s">
        <v>3</v>
      </c>
      <c r="E108" s="354" t="s">
        <v>4</v>
      </c>
      <c r="F108" s="354"/>
      <c r="G108" s="354" t="s">
        <v>5</v>
      </c>
      <c r="H108" s="355"/>
      <c r="I108" s="23"/>
    </row>
    <row r="109" spans="1:10" ht="16.5" thickBot="1">
      <c r="A109" s="1"/>
      <c r="B109" s="318" t="s">
        <v>67</v>
      </c>
      <c r="C109" s="319"/>
      <c r="D109" s="321" t="s">
        <v>265</v>
      </c>
      <c r="E109" s="396"/>
      <c r="F109" s="396"/>
      <c r="G109" s="396"/>
      <c r="H109" s="322"/>
      <c r="I109" s="23"/>
    </row>
    <row r="110" spans="1:10" ht="15.75" customHeight="1">
      <c r="A110" s="1"/>
      <c r="B110" s="378" t="s">
        <v>158</v>
      </c>
      <c r="C110" s="379"/>
      <c r="D110" s="7">
        <f>COUNT(I20:I24)*2</f>
        <v>4</v>
      </c>
      <c r="E110" s="395">
        <f>SUM(I20:I24)</f>
        <v>0</v>
      </c>
      <c r="F110" s="395"/>
      <c r="G110" s="383">
        <f>IFERROR(E110/D110,"")</f>
        <v>0</v>
      </c>
      <c r="H110" s="384"/>
      <c r="I110" s="23"/>
    </row>
    <row r="111" spans="1:10" ht="15.75">
      <c r="A111" s="1"/>
      <c r="B111" s="374" t="s">
        <v>157</v>
      </c>
      <c r="C111" s="375"/>
      <c r="D111" s="2">
        <f>COUNT(I33:I38)*2</f>
        <v>0</v>
      </c>
      <c r="E111" s="334">
        <f>SUM(I33:I38)</f>
        <v>0</v>
      </c>
      <c r="F111" s="334"/>
      <c r="G111" s="337" t="str">
        <f t="shared" ref="G111:G123" si="6">IFERROR(E111/D111,"")</f>
        <v/>
      </c>
      <c r="H111" s="338"/>
      <c r="I111" s="23"/>
    </row>
    <row r="112" spans="1:10" ht="15.75">
      <c r="A112" s="1"/>
      <c r="B112" s="339" t="s">
        <v>156</v>
      </c>
      <c r="C112" s="340"/>
      <c r="D112" s="3">
        <f>COUNT(I40:I43)*2</f>
        <v>2</v>
      </c>
      <c r="E112" s="335">
        <f>SUM(I40:I43)</f>
        <v>0</v>
      </c>
      <c r="F112" s="335"/>
      <c r="G112" s="367">
        <f t="shared" si="6"/>
        <v>0</v>
      </c>
      <c r="H112" s="368"/>
      <c r="I112" s="23"/>
    </row>
    <row r="113" spans="1:9" ht="15.75">
      <c r="A113" s="1"/>
      <c r="B113" s="374" t="s">
        <v>155</v>
      </c>
      <c r="C113" s="380"/>
      <c r="D113" s="2">
        <f>COUNT(I26:I28)*2</f>
        <v>0</v>
      </c>
      <c r="E113" s="334">
        <f>SUM(I26:I28)</f>
        <v>0</v>
      </c>
      <c r="F113" s="334"/>
      <c r="G113" s="337" t="str">
        <f t="shared" si="6"/>
        <v/>
      </c>
      <c r="H113" s="338"/>
      <c r="I113" s="23"/>
    </row>
    <row r="114" spans="1:9" ht="16.5" thickBot="1">
      <c r="A114" s="1"/>
      <c r="B114" s="339" t="s">
        <v>154</v>
      </c>
      <c r="C114" s="340"/>
      <c r="D114" s="3">
        <f>COUNT(I30:I31)*2</f>
        <v>0</v>
      </c>
      <c r="E114" s="335">
        <f>SUM(I30:I31)</f>
        <v>0</v>
      </c>
      <c r="F114" s="335"/>
      <c r="G114" s="392" t="str">
        <f t="shared" ref="G114" si="7">IFERROR(E114/D114,"")</f>
        <v/>
      </c>
      <c r="H114" s="393"/>
      <c r="I114" s="23"/>
    </row>
    <row r="115" spans="1:9" ht="16.5" thickBot="1">
      <c r="A115" s="1"/>
      <c r="B115" s="318" t="s">
        <v>159</v>
      </c>
      <c r="C115" s="319"/>
      <c r="D115" s="13">
        <f>SUBTOTAL(9,D110:D114)</f>
        <v>6</v>
      </c>
      <c r="E115" s="320">
        <f>SUBTOTAL(9,E110:F114)</f>
        <v>0</v>
      </c>
      <c r="F115" s="320"/>
      <c r="G115" s="321">
        <f t="shared" ref="G115" si="8">IFERROR(E115/D115,"")</f>
        <v>0</v>
      </c>
      <c r="H115" s="322"/>
      <c r="I115" s="23"/>
    </row>
    <row r="116" spans="1:9" ht="13.5" customHeight="1">
      <c r="A116" s="1"/>
      <c r="B116" s="374" t="str">
        <f>A45</f>
        <v>Limpieza del restaurante</v>
      </c>
      <c r="C116" s="375"/>
      <c r="D116" s="2">
        <f>COUNT(I45:I54)*2</f>
        <v>0</v>
      </c>
      <c r="E116" s="334">
        <f>SUM(I45:I54)</f>
        <v>0</v>
      </c>
      <c r="F116" s="334"/>
      <c r="G116" s="337" t="str">
        <f t="shared" si="6"/>
        <v/>
      </c>
      <c r="H116" s="338"/>
      <c r="I116" s="23"/>
    </row>
    <row r="117" spans="1:9" ht="15.75" customHeight="1">
      <c r="A117" s="1"/>
      <c r="B117" s="339" t="str">
        <f>A56</f>
        <v>Servicios para huéspedes</v>
      </c>
      <c r="C117" s="340"/>
      <c r="D117" s="3">
        <f>((COUNT(I56)*6)+(COUNT(I57:I62)*2))</f>
        <v>0</v>
      </c>
      <c r="E117" s="371">
        <f>SUM(I56:I62)</f>
        <v>0</v>
      </c>
      <c r="F117" s="372"/>
      <c r="G117" s="367" t="str">
        <f t="shared" si="6"/>
        <v/>
      </c>
      <c r="H117" s="368"/>
      <c r="I117" s="23"/>
    </row>
    <row r="118" spans="1:9" ht="15.75" customHeight="1">
      <c r="A118" s="1"/>
      <c r="B118" s="385" t="s">
        <v>60</v>
      </c>
      <c r="C118" s="386"/>
      <c r="D118" s="51">
        <f>COUNT(I64:I68)*2</f>
        <v>0</v>
      </c>
      <c r="E118" s="387">
        <f>SUM(I64:I68)</f>
        <v>0</v>
      </c>
      <c r="F118" s="388"/>
      <c r="G118" s="381" t="str">
        <f t="shared" ref="G118:G122" si="9">IFERROR(E118/D118,"")</f>
        <v/>
      </c>
      <c r="H118" s="382"/>
      <c r="I118" s="23"/>
    </row>
    <row r="119" spans="1:9" ht="15.75">
      <c r="A119" s="1"/>
      <c r="B119" s="316" t="s">
        <v>33</v>
      </c>
      <c r="C119" s="317"/>
      <c r="D119" s="3">
        <f>COUNT(I70:I73)*2</f>
        <v>0</v>
      </c>
      <c r="E119" s="371">
        <f>SUM(I70:I73)</f>
        <v>0</v>
      </c>
      <c r="F119" s="372"/>
      <c r="G119" s="367" t="str">
        <f t="shared" ref="G119" si="10">IFERROR(E119/D119,"")</f>
        <v/>
      </c>
      <c r="H119" s="368"/>
      <c r="I119" s="23"/>
    </row>
    <row r="120" spans="1:9" ht="15.75" customHeight="1">
      <c r="A120" s="1"/>
      <c r="B120" s="425" t="str">
        <f>A75</f>
        <v>Calidad del producto</v>
      </c>
      <c r="C120" s="426"/>
      <c r="D120" s="51">
        <f>COUNT(I75:I81)*2</f>
        <v>0</v>
      </c>
      <c r="E120" s="427">
        <f>SUM(I75:I81)</f>
        <v>0</v>
      </c>
      <c r="F120" s="427"/>
      <c r="G120" s="381" t="str">
        <f t="shared" si="9"/>
        <v/>
      </c>
      <c r="H120" s="382"/>
      <c r="I120" s="23"/>
    </row>
    <row r="121" spans="1:9" ht="15.75" customHeight="1">
      <c r="A121" s="1"/>
      <c r="B121" s="316" t="str">
        <f>A83</f>
        <v>Comercialización</v>
      </c>
      <c r="C121" s="317"/>
      <c r="D121" s="3">
        <f>COUNT(I83:I87)*2</f>
        <v>2</v>
      </c>
      <c r="E121" s="371">
        <f>SUM(I83:I87)</f>
        <v>0</v>
      </c>
      <c r="F121" s="372"/>
      <c r="G121" s="367">
        <f t="shared" si="9"/>
        <v>0</v>
      </c>
      <c r="H121" s="368"/>
      <c r="I121" s="23"/>
    </row>
    <row r="122" spans="1:9" ht="16.5" thickBot="1">
      <c r="A122" s="1"/>
      <c r="B122" s="428" t="str">
        <f>A89</f>
        <v>Normas de equipamiento</v>
      </c>
      <c r="C122" s="429"/>
      <c r="D122" s="51">
        <f>COUNT(I89:I96)*2</f>
        <v>0</v>
      </c>
      <c r="E122" s="427">
        <f>SUM(I89:I96)</f>
        <v>0</v>
      </c>
      <c r="F122" s="427"/>
      <c r="G122" s="381" t="str">
        <f t="shared" si="9"/>
        <v/>
      </c>
      <c r="H122" s="382"/>
      <c r="I122" s="23"/>
    </row>
    <row r="123" spans="1:9" ht="16.5" thickBot="1">
      <c r="A123" s="1"/>
      <c r="B123" s="318" t="s">
        <v>2</v>
      </c>
      <c r="C123" s="366"/>
      <c r="D123" s="13">
        <f>SUBTOTAL(9,D110:D122)</f>
        <v>8</v>
      </c>
      <c r="E123" s="369">
        <f>SUBTOTAL(9,E110:F122)</f>
        <v>0</v>
      </c>
      <c r="F123" s="370"/>
      <c r="G123" s="321">
        <f t="shared" si="6"/>
        <v>0</v>
      </c>
      <c r="H123" s="322"/>
      <c r="I123" s="23"/>
    </row>
    <row r="124" spans="1:9">
      <c r="A124" s="1"/>
      <c r="B124" s="1"/>
      <c r="C124" s="1"/>
      <c r="D124" s="1"/>
      <c r="E124" s="1"/>
      <c r="F124" s="1"/>
      <c r="G124" s="1"/>
      <c r="H124" s="1"/>
      <c r="I124" s="23"/>
    </row>
    <row r="125" spans="1:9">
      <c r="A125" s="1"/>
      <c r="B125" s="1"/>
      <c r="C125" s="1"/>
      <c r="D125" s="1"/>
      <c r="E125" s="1"/>
      <c r="F125" s="1"/>
      <c r="G125" s="1"/>
      <c r="H125" s="1"/>
      <c r="I125" s="23"/>
    </row>
    <row r="126" spans="1:9" hidden="1">
      <c r="A126" s="1"/>
      <c r="B126" s="1"/>
      <c r="C126" s="1"/>
      <c r="D126" s="1"/>
      <c r="E126" s="1"/>
      <c r="F126" s="1"/>
      <c r="G126" s="1"/>
      <c r="H126" s="1"/>
      <c r="I126" s="23"/>
    </row>
    <row r="127" spans="1:9" hidden="1">
      <c r="A127" s="1"/>
      <c r="B127" s="1"/>
      <c r="C127" s="1"/>
      <c r="D127" s="1"/>
      <c r="E127" s="1"/>
      <c r="F127" s="1"/>
      <c r="G127" s="1"/>
      <c r="H127" s="1"/>
      <c r="I127" s="23"/>
    </row>
    <row r="128" spans="1:9" hidden="1">
      <c r="A128" s="1"/>
      <c r="B128" s="1"/>
      <c r="C128" s="1"/>
      <c r="D128" s="1"/>
      <c r="E128" s="1"/>
      <c r="F128" s="1"/>
      <c r="G128" s="1"/>
      <c r="H128" s="1"/>
      <c r="I128" s="23"/>
    </row>
    <row r="129" spans="1:9" hidden="1">
      <c r="A129" s="1"/>
      <c r="B129" s="1"/>
      <c r="C129" s="1"/>
      <c r="D129" s="1"/>
      <c r="E129" s="1"/>
      <c r="F129" s="1"/>
      <c r="G129" s="1"/>
      <c r="H129" s="1"/>
      <c r="I129" s="23"/>
    </row>
    <row r="130" spans="1:9" hidden="1">
      <c r="A130" s="1"/>
      <c r="B130" s="1"/>
      <c r="C130" s="1"/>
      <c r="D130" s="1"/>
      <c r="E130" s="1"/>
      <c r="F130" s="1"/>
      <c r="G130" s="1"/>
      <c r="H130" s="1"/>
      <c r="I130" s="23"/>
    </row>
    <row r="131" spans="1:9" hidden="1">
      <c r="A131" s="1"/>
      <c r="B131" s="1"/>
      <c r="C131" s="1"/>
      <c r="D131" s="1"/>
      <c r="E131" s="1"/>
      <c r="F131" s="1"/>
      <c r="G131" s="1"/>
      <c r="H131" s="1"/>
      <c r="I131" s="23"/>
    </row>
    <row r="132" spans="1:9" hidden="1">
      <c r="A132" s="1"/>
      <c r="B132" s="1"/>
      <c r="C132" s="1"/>
      <c r="D132" s="1"/>
      <c r="E132" s="1"/>
      <c r="F132" s="1"/>
      <c r="G132" s="1"/>
      <c r="H132" s="1"/>
      <c r="I132" s="23"/>
    </row>
    <row r="133" spans="1:9" hidden="1">
      <c r="A133" s="1"/>
      <c r="B133" s="1"/>
      <c r="C133" s="1"/>
      <c r="D133" s="1"/>
      <c r="E133" s="1"/>
      <c r="F133" s="1"/>
      <c r="G133" s="1"/>
      <c r="H133" s="1"/>
      <c r="I133" s="23"/>
    </row>
    <row r="134" spans="1:9" hidden="1">
      <c r="A134" s="1"/>
      <c r="B134" s="1"/>
      <c r="C134" s="1"/>
      <c r="D134" s="1"/>
      <c r="E134" s="1"/>
      <c r="F134" s="1"/>
      <c r="G134" s="1"/>
      <c r="H134" s="1"/>
      <c r="I134" s="23"/>
    </row>
    <row r="135" spans="1:9" hidden="1">
      <c r="A135" s="1"/>
      <c r="B135" s="1"/>
      <c r="C135" s="1"/>
      <c r="D135" s="1"/>
      <c r="E135" s="1"/>
      <c r="F135" s="1"/>
      <c r="G135" s="1"/>
      <c r="H135" s="1"/>
      <c r="I135" s="23"/>
    </row>
    <row r="136" spans="1:9" hidden="1">
      <c r="A136" s="1"/>
      <c r="B136" s="1"/>
      <c r="C136" s="1"/>
      <c r="D136" s="1"/>
      <c r="E136" s="1"/>
      <c r="F136" s="1"/>
      <c r="G136" s="1"/>
      <c r="H136" s="1"/>
      <c r="I136" s="23"/>
    </row>
    <row r="137" spans="1:9" hidden="1">
      <c r="A137" s="1"/>
      <c r="B137" s="1"/>
      <c r="C137" s="1"/>
      <c r="D137" s="1"/>
      <c r="E137" s="1"/>
      <c r="F137" s="1"/>
      <c r="G137" s="1"/>
      <c r="H137" s="1"/>
      <c r="I137" s="23"/>
    </row>
    <row r="138" spans="1:9" hidden="1">
      <c r="A138" s="1"/>
      <c r="B138" s="1"/>
      <c r="C138" s="1"/>
      <c r="D138" s="1"/>
      <c r="E138" s="1"/>
      <c r="F138" s="1"/>
      <c r="G138" s="1"/>
      <c r="H138" s="1"/>
      <c r="I138" s="23"/>
    </row>
    <row r="139" spans="1:9" hidden="1">
      <c r="A139" s="1"/>
      <c r="B139" s="1"/>
      <c r="C139" s="1"/>
      <c r="D139" s="1"/>
      <c r="E139" s="1"/>
      <c r="F139" s="1"/>
      <c r="G139" s="1"/>
      <c r="H139" s="1"/>
      <c r="I139" s="23"/>
    </row>
    <row r="140" spans="1:9" hidden="1">
      <c r="A140" s="1"/>
      <c r="B140" s="1"/>
      <c r="C140" s="1"/>
      <c r="D140" s="1"/>
      <c r="E140" s="1"/>
      <c r="F140" s="1"/>
      <c r="G140" s="1"/>
      <c r="H140" s="1"/>
      <c r="I140" s="23"/>
    </row>
    <row r="141" spans="1:9" hidden="1">
      <c r="A141" s="1"/>
      <c r="B141" s="1"/>
      <c r="C141" s="1"/>
      <c r="D141" s="1"/>
      <c r="E141" s="1"/>
      <c r="F141" s="1"/>
      <c r="G141" s="1"/>
      <c r="H141" s="1"/>
      <c r="I141" s="23"/>
    </row>
    <row r="142" spans="1:9" hidden="1">
      <c r="A142" s="1"/>
      <c r="B142" s="1"/>
      <c r="C142" s="1"/>
      <c r="D142" s="1"/>
      <c r="E142" s="1"/>
      <c r="F142" s="1"/>
      <c r="G142" s="1"/>
      <c r="H142" s="1"/>
      <c r="I142" s="23"/>
    </row>
    <row r="143" spans="1:9" hidden="1">
      <c r="A143" s="1"/>
      <c r="B143" s="1"/>
      <c r="C143" s="1"/>
      <c r="D143" s="1"/>
      <c r="E143" s="1"/>
      <c r="F143" s="1"/>
      <c r="G143" s="1"/>
      <c r="H143" s="1"/>
      <c r="I143" s="23"/>
    </row>
    <row r="144" spans="1:9" hidden="1">
      <c r="A144" s="1"/>
      <c r="B144" s="1"/>
      <c r="C144" s="1"/>
      <c r="D144" s="1"/>
      <c r="E144" s="1"/>
      <c r="F144" s="1"/>
      <c r="G144" s="1"/>
      <c r="H144" s="1"/>
      <c r="I144" s="23"/>
    </row>
    <row r="145" spans="1:9" hidden="1">
      <c r="A145" s="1"/>
      <c r="B145" s="1"/>
      <c r="C145" s="1"/>
      <c r="D145" s="1"/>
      <c r="E145" s="1"/>
      <c r="F145" s="1"/>
      <c r="G145" s="1"/>
      <c r="H145" s="1"/>
      <c r="I145" s="23"/>
    </row>
    <row r="146" spans="1:9" hidden="1">
      <c r="A146" s="1"/>
      <c r="B146" s="1"/>
      <c r="C146" s="1"/>
      <c r="D146" s="1"/>
      <c r="E146" s="1"/>
      <c r="F146" s="1"/>
      <c r="G146" s="1"/>
      <c r="H146" s="1"/>
      <c r="I146" s="23"/>
    </row>
    <row r="147" spans="1:9" hidden="1">
      <c r="A147" s="1"/>
      <c r="B147" s="1"/>
      <c r="C147" s="1"/>
      <c r="D147" s="1"/>
      <c r="E147" s="1"/>
      <c r="F147" s="1"/>
      <c r="G147" s="1"/>
      <c r="H147" s="1"/>
      <c r="I147" s="23"/>
    </row>
    <row r="148" spans="1:9" hidden="1">
      <c r="A148" s="1"/>
      <c r="B148" s="1"/>
      <c r="C148" s="1"/>
      <c r="D148" s="1"/>
      <c r="E148" s="1"/>
      <c r="F148" s="1"/>
      <c r="G148" s="1"/>
      <c r="H148" s="1"/>
      <c r="I148" s="23"/>
    </row>
    <row r="149" spans="1:9" hidden="1">
      <c r="A149" s="1"/>
      <c r="B149" s="1"/>
      <c r="C149" s="1"/>
      <c r="D149" s="1"/>
      <c r="E149" s="1"/>
      <c r="F149" s="1"/>
      <c r="G149" s="1"/>
      <c r="H149" s="1"/>
      <c r="I149" s="23"/>
    </row>
    <row r="150" spans="1:9" hidden="1">
      <c r="A150" s="1"/>
      <c r="B150" s="1"/>
      <c r="C150" s="1"/>
      <c r="D150" s="1"/>
      <c r="E150" s="1"/>
      <c r="F150" s="1"/>
      <c r="G150" s="1"/>
      <c r="H150" s="1"/>
      <c r="I150" s="23"/>
    </row>
    <row r="151" spans="1:9" hidden="1">
      <c r="B151" s="1"/>
      <c r="C151" s="1"/>
      <c r="D151" s="1"/>
      <c r="E151" s="1"/>
      <c r="F151" s="1"/>
      <c r="G151" s="1"/>
      <c r="H151" s="1"/>
    </row>
    <row r="206"/>
    <row r="207"/>
    <row r="208"/>
    <row r="209"/>
  </sheetData>
  <mergeCells count="149">
    <mergeCell ref="A40:A43"/>
    <mergeCell ref="C43:G43"/>
    <mergeCell ref="I98:I104"/>
    <mergeCell ref="C85:G85"/>
    <mergeCell ref="C84:G84"/>
    <mergeCell ref="A64:A68"/>
    <mergeCell ref="C64:G64"/>
    <mergeCell ref="C66:G66"/>
    <mergeCell ref="C90:G90"/>
    <mergeCell ref="C91:G91"/>
    <mergeCell ref="C92:G92"/>
    <mergeCell ref="A98:A104"/>
    <mergeCell ref="A83:A87"/>
    <mergeCell ref="A89:A96"/>
    <mergeCell ref="C76:G76"/>
    <mergeCell ref="C77:G77"/>
    <mergeCell ref="C78:G78"/>
    <mergeCell ref="C79:G79"/>
    <mergeCell ref="A70:A73"/>
    <mergeCell ref="C65:G65"/>
    <mergeCell ref="C70:G70"/>
    <mergeCell ref="C73:G73"/>
    <mergeCell ref="C68:G68"/>
    <mergeCell ref="C72:G72"/>
    <mergeCell ref="B120:C120"/>
    <mergeCell ref="E120:F120"/>
    <mergeCell ref="G120:H120"/>
    <mergeCell ref="B121:C121"/>
    <mergeCell ref="E121:F121"/>
    <mergeCell ref="G121:H121"/>
    <mergeCell ref="B122:C122"/>
    <mergeCell ref="E122:F122"/>
    <mergeCell ref="G122:H122"/>
    <mergeCell ref="H8:I8"/>
    <mergeCell ref="A56:A62"/>
    <mergeCell ref="A45:A54"/>
    <mergeCell ref="A10:A18"/>
    <mergeCell ref="A20:A24"/>
    <mergeCell ref="C21:G21"/>
    <mergeCell ref="C22:G22"/>
    <mergeCell ref="C24:G24"/>
    <mergeCell ref="C15:G15"/>
    <mergeCell ref="C16:G16"/>
    <mergeCell ref="C17:G17"/>
    <mergeCell ref="C18:G18"/>
    <mergeCell ref="C20:G20"/>
    <mergeCell ref="C57:G57"/>
    <mergeCell ref="C61:G61"/>
    <mergeCell ref="C10:G10"/>
    <mergeCell ref="C11:G11"/>
    <mergeCell ref="C30:G30"/>
    <mergeCell ref="A26:A28"/>
    <mergeCell ref="A29:K29"/>
    <mergeCell ref="A30:A31"/>
    <mergeCell ref="A32:J32"/>
    <mergeCell ref="A33:A38"/>
    <mergeCell ref="C34:G34"/>
    <mergeCell ref="B118:C118"/>
    <mergeCell ref="E118:F118"/>
    <mergeCell ref="A75:A81"/>
    <mergeCell ref="C75:G75"/>
    <mergeCell ref="C99:G99"/>
    <mergeCell ref="C100:G100"/>
    <mergeCell ref="C101:G101"/>
    <mergeCell ref="C102:G102"/>
    <mergeCell ref="E114:F114"/>
    <mergeCell ref="G114:H114"/>
    <mergeCell ref="C94:G94"/>
    <mergeCell ref="C96:G96"/>
    <mergeCell ref="C98:G98"/>
    <mergeCell ref="C89:G89"/>
    <mergeCell ref="E110:F110"/>
    <mergeCell ref="E108:F108"/>
    <mergeCell ref="D109:H109"/>
    <mergeCell ref="C80:G80"/>
    <mergeCell ref="C81:G81"/>
    <mergeCell ref="G111:H111"/>
    <mergeCell ref="B123:C123"/>
    <mergeCell ref="C40:G40"/>
    <mergeCell ref="G123:H123"/>
    <mergeCell ref="G116:H116"/>
    <mergeCell ref="G117:H117"/>
    <mergeCell ref="E123:F123"/>
    <mergeCell ref="E116:F116"/>
    <mergeCell ref="E117:F117"/>
    <mergeCell ref="C46:G46"/>
    <mergeCell ref="C47:G47"/>
    <mergeCell ref="C83:G83"/>
    <mergeCell ref="C87:G87"/>
    <mergeCell ref="E119:F119"/>
    <mergeCell ref="G119:H119"/>
    <mergeCell ref="B116:C116"/>
    <mergeCell ref="B117:C117"/>
    <mergeCell ref="B108:C108"/>
    <mergeCell ref="B110:C110"/>
    <mergeCell ref="B111:C111"/>
    <mergeCell ref="B112:C112"/>
    <mergeCell ref="B113:C113"/>
    <mergeCell ref="G118:H118"/>
    <mergeCell ref="G110:H110"/>
    <mergeCell ref="G112:H112"/>
    <mergeCell ref="C28:G28"/>
    <mergeCell ref="B109:C109"/>
    <mergeCell ref="A8:B8"/>
    <mergeCell ref="F8:G8"/>
    <mergeCell ref="C59:G59"/>
    <mergeCell ref="C60:G60"/>
    <mergeCell ref="C62:G62"/>
    <mergeCell ref="C23:G23"/>
    <mergeCell ref="C42:G42"/>
    <mergeCell ref="C26:G26"/>
    <mergeCell ref="G108:H108"/>
    <mergeCell ref="C50:G50"/>
    <mergeCell ref="C51:G51"/>
    <mergeCell ref="C12:G12"/>
    <mergeCell ref="C13:G13"/>
    <mergeCell ref="C14:G14"/>
    <mergeCell ref="C48:G48"/>
    <mergeCell ref="C54:G54"/>
    <mergeCell ref="C56:G56"/>
    <mergeCell ref="C27:G27"/>
    <mergeCell ref="C95:G95"/>
    <mergeCell ref="C35:G35"/>
    <mergeCell ref="C93:G93"/>
    <mergeCell ref="C31:G31"/>
    <mergeCell ref="B119:C119"/>
    <mergeCell ref="B115:C115"/>
    <mergeCell ref="E115:F115"/>
    <mergeCell ref="G115:H115"/>
    <mergeCell ref="C33:G33"/>
    <mergeCell ref="C36:G36"/>
    <mergeCell ref="C38:G38"/>
    <mergeCell ref="C52:G52"/>
    <mergeCell ref="C49:G49"/>
    <mergeCell ref="C41:G41"/>
    <mergeCell ref="C103:G103"/>
    <mergeCell ref="C104:G104"/>
    <mergeCell ref="C67:G67"/>
    <mergeCell ref="C86:G86"/>
    <mergeCell ref="C53:G53"/>
    <mergeCell ref="C37:G37"/>
    <mergeCell ref="E111:F111"/>
    <mergeCell ref="E112:F112"/>
    <mergeCell ref="E113:F113"/>
    <mergeCell ref="C58:G58"/>
    <mergeCell ref="C45:G45"/>
    <mergeCell ref="G113:H113"/>
    <mergeCell ref="B114:C114"/>
    <mergeCell ref="C71:G71"/>
  </mergeCells>
  <conditionalFormatting sqref="D109">
    <cfRule type="containsText" dxfId="340" priority="75" operator="containsText" text="FAIL -">
      <formula>NOT(ISERROR(SEARCH("FAIL -",D109)))</formula>
    </cfRule>
  </conditionalFormatting>
  <conditionalFormatting sqref="D109:H109">
    <cfRule type="containsText" dxfId="339" priority="8" operator="containsText" text="PASS">
      <formula>NOT(ISERROR(SEARCH("PASS",D109)))</formula>
    </cfRule>
    <cfRule type="containsText" dxfId="338" priority="9" operator="containsText" text="FAIL - ">
      <formula>NOT(ISERROR(SEARCH("FAIL - ",D109)))</formula>
    </cfRule>
  </conditionalFormatting>
  <conditionalFormatting sqref="G117:G119">
    <cfRule type="expression" dxfId="337" priority="32">
      <formula>$G117&lt;=0.85</formula>
    </cfRule>
  </conditionalFormatting>
  <conditionalFormatting sqref="G121">
    <cfRule type="expression" dxfId="336" priority="14">
      <formula>$G121&lt;=0.85</formula>
    </cfRule>
  </conditionalFormatting>
  <conditionalFormatting sqref="G110:H116">
    <cfRule type="expression" dxfId="335" priority="13">
      <formula>$G110&lt;=0.85</formula>
    </cfRule>
  </conditionalFormatting>
  <conditionalFormatting sqref="G120:H120">
    <cfRule type="expression" dxfId="334" priority="33">
      <formula>$G120&lt;=0.85</formula>
    </cfRule>
  </conditionalFormatting>
  <conditionalFormatting sqref="G122:H123">
    <cfRule type="expression" dxfId="333" priority="70">
      <formula>$G122&lt;=0.85</formula>
    </cfRule>
  </conditionalFormatting>
  <conditionalFormatting sqref="H8">
    <cfRule type="expression" dxfId="332" priority="74">
      <formula>AND($C$8&gt;0,$H$8&lt;=0.85)</formula>
    </cfRule>
  </conditionalFormatting>
  <conditionalFormatting sqref="H10:H18">
    <cfRule type="expression" dxfId="331" priority="25">
      <formula>$H10="Cured in the moment"</formula>
    </cfRule>
    <cfRule type="expression" dxfId="330" priority="69">
      <formula>$H10="No"</formula>
    </cfRule>
  </conditionalFormatting>
  <conditionalFormatting sqref="H20:I24 H30:I31 H56:I62 H70:I73 H75:I81">
    <cfRule type="expression" dxfId="329" priority="34">
      <formula>$H20="Not functioning"</formula>
    </cfRule>
  </conditionalFormatting>
  <conditionalFormatting sqref="H26:I28 H33:I38">
    <cfRule type="expression" dxfId="328" priority="5">
      <formula>$H26="Not functioning"</formula>
    </cfRule>
  </conditionalFormatting>
  <conditionalFormatting sqref="H40:I43">
    <cfRule type="expression" dxfId="327" priority="1">
      <formula>$H40="Not functioning"</formula>
    </cfRule>
  </conditionalFormatting>
  <conditionalFormatting sqref="H45:I54">
    <cfRule type="expression" dxfId="326" priority="10">
      <formula>$H45="Not functioning"</formula>
    </cfRule>
  </conditionalFormatting>
  <conditionalFormatting sqref="H64:I68">
    <cfRule type="expression" dxfId="325" priority="12">
      <formula>$H64="Not functioning"</formula>
    </cfRule>
  </conditionalFormatting>
  <conditionalFormatting sqref="H83:I87">
    <cfRule type="expression" dxfId="324" priority="11">
      <formula>$H83="Not functioning"</formula>
    </cfRule>
  </conditionalFormatting>
  <conditionalFormatting sqref="H89:I96">
    <cfRule type="expression" dxfId="323" priority="26">
      <formula>$H89="Not functioning"</formula>
    </cfRule>
  </conditionalFormatting>
  <conditionalFormatting sqref="H98:I98 H99:H104">
    <cfRule type="expression" dxfId="322" priority="27">
      <formula>$H98="Not functioning"</formula>
    </cfRule>
  </conditionalFormatting>
  <conditionalFormatting sqref="I10:I18">
    <cfRule type="expression" dxfId="321" priority="6">
      <formula>$H10="Cured in the moment"</formula>
    </cfRule>
    <cfRule type="expression" dxfId="320" priority="7">
      <formula>$H10="No"</formula>
    </cfRule>
  </conditionalFormatting>
  <dataValidations count="3">
    <dataValidation type="list" allowBlank="1" showInputMessage="1" showErrorMessage="1" sqref="H10:H18" xr:uid="{00000000-0002-0000-0000-000000000000}">
      <formula1>"Yes,No,Cured in the Moment"</formula1>
    </dataValidation>
    <dataValidation type="list" allowBlank="1" showInputMessage="1" showErrorMessage="1" sqref="H99:H104 H45:H54 H33:H43 H83:H87 H56:H62 H20:H24 H70:H73 H75:H81 H64:H68 H89:H96 H30:H31 H26:H28" xr:uid="{00000000-0002-0000-0000-000001000000}">
      <formula1>"Yes,No,N/A"</formula1>
    </dataValidation>
    <dataValidation type="list" allowBlank="1" showInputMessage="1" showErrorMessage="1" sqref="H98" xr:uid="{00000000-0002-0000-0000-000002000000}">
      <formula1>"Yes,No"</formula1>
    </dataValidation>
  </dataValidations>
  <pageMargins left="0.25" right="0.25" top="0.75" bottom="0.75" header="0.3" footer="0.3"/>
  <pageSetup scale="76" fitToHeight="0" orientation="landscape" horizontalDpi="1200" verticalDpi="1200" r:id="rId1"/>
  <headerFooter>
    <oddHeader>&amp;L&amp;G&amp;C&amp;"+,Bold"&amp;14BR ROR 12Q4</oddHeader>
    <oddFooter>&amp;L&amp;D &amp;T&amp;C&amp;F&amp;R&amp;P of &amp;N</oddFooter>
  </headerFooter>
  <rowBreaks count="6" manualBreakCount="6">
    <brk id="25" max="10" man="1"/>
    <brk id="55" max="10" man="1"/>
    <brk id="74" max="10" man="1"/>
    <brk id="88" max="10" man="1"/>
    <brk id="106" max="10" man="1"/>
    <brk id="125" max="10" man="1"/>
  </rowBreaks>
  <drawing r:id="rId2"/>
  <legacyDrawing r:id="rId3"/>
  <legacyDrawingHF r:id="rId4"/>
  <mc:AlternateContent xmlns:mc="http://schemas.openxmlformats.org/markup-compatibility/2006">
    <mc:Choice Requires="x14">
      <controls>
        <mc:AlternateContent xmlns:mc="http://schemas.openxmlformats.org/markup-compatibility/2006">
          <mc:Choice Requires="x14">
            <control shapeId="1026" r:id="rId5" name="Button 2">
              <controlPr defaultSize="0" print="0" autoFill="0" autoPict="0" macro="[0]!ClearForm">
                <anchor moveWithCells="1" sizeWithCells="1">
                  <from>
                    <xdr:col>9</xdr:col>
                    <xdr:colOff>828675</xdr:colOff>
                    <xdr:row>0</xdr:row>
                    <xdr:rowOff>114300</xdr:rowOff>
                  </from>
                  <to>
                    <xdr:col>9</xdr:col>
                    <xdr:colOff>3286125</xdr:colOff>
                    <xdr:row>1</xdr:row>
                    <xdr:rowOff>114300</xdr:rowOff>
                  </to>
                </anchor>
              </controlPr>
            </control>
          </mc:Choice>
        </mc:AlternateContent>
        <mc:AlternateContent xmlns:mc="http://schemas.openxmlformats.org/markup-compatibility/2006">
          <mc:Choice Requires="x14">
            <control shapeId="1027" r:id="rId6" name="Button 3">
              <controlPr defaultSize="0" print="0" autoFill="0" autoPict="0" macro="[0]!GetInfoFromFile">
                <anchor moveWithCells="1" sizeWithCells="1">
                  <from>
                    <xdr:col>9</xdr:col>
                    <xdr:colOff>828675</xdr:colOff>
                    <xdr:row>2</xdr:row>
                    <xdr:rowOff>0</xdr:rowOff>
                  </from>
                  <to>
                    <xdr:col>9</xdr:col>
                    <xdr:colOff>3286125</xdr:colOff>
                    <xdr:row>4</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C8" sqref="C7:C8"/>
    </sheetView>
  </sheetViews>
  <sheetFormatPr baseColWidth="10" defaultColWidth="8.85546875" defaultRowHeight="15"/>
  <cols>
    <col min="1" max="1" width="12.42578125" bestFit="1" customWidth="1"/>
    <col min="2" max="2" width="11" bestFit="1" customWidth="1"/>
  </cols>
  <sheetData>
    <row r="1" spans="1:2" ht="15.75" thickBot="1">
      <c r="A1" s="99" t="s">
        <v>173</v>
      </c>
      <c r="B1" s="100" t="s">
        <v>5</v>
      </c>
    </row>
    <row r="2" spans="1:2">
      <c r="A2" s="102">
        <v>0</v>
      </c>
      <c r="B2" s="102">
        <v>100</v>
      </c>
    </row>
    <row r="3" spans="1:2">
      <c r="A3" s="101">
        <v>1</v>
      </c>
      <c r="B3" s="101">
        <v>80</v>
      </c>
    </row>
    <row r="4" spans="1:2">
      <c r="A4" s="101">
        <v>2</v>
      </c>
      <c r="B4" s="101">
        <v>60</v>
      </c>
    </row>
    <row r="5" spans="1:2">
      <c r="A5" s="101">
        <v>3</v>
      </c>
      <c r="B5" s="101">
        <v>40</v>
      </c>
    </row>
    <row r="6" spans="1:2">
      <c r="A6" s="101">
        <v>4</v>
      </c>
      <c r="B6" s="101">
        <v>20</v>
      </c>
    </row>
    <row r="7" spans="1:2">
      <c r="A7" s="101">
        <v>5</v>
      </c>
      <c r="B7" s="101">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39997558519241921"/>
  </sheetPr>
  <dimension ref="B1:BF56"/>
  <sheetViews>
    <sheetView showGridLines="0" topLeftCell="B1" zoomScale="60" zoomScaleNormal="60" workbookViewId="0">
      <selection activeCell="C4" sqref="C4:D4"/>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42" customHeight="1" thickBot="1">
      <c r="B3" s="210" t="s">
        <v>208</v>
      </c>
      <c r="C3" s="439" t="s">
        <v>319</v>
      </c>
      <c r="D3" s="440"/>
      <c r="E3" s="161"/>
      <c r="G3" s="220"/>
      <c r="H3" s="220"/>
      <c r="I3" s="220"/>
      <c r="J3" s="220"/>
    </row>
    <row r="4" spans="2:55" ht="76.5" customHeight="1" thickBot="1">
      <c r="B4" s="211" t="s">
        <v>275</v>
      </c>
      <c r="C4" s="441" t="s">
        <v>356</v>
      </c>
      <c r="D4" s="442"/>
      <c r="E4" s="150"/>
      <c r="G4" s="186" t="s">
        <v>11</v>
      </c>
      <c r="H4" s="443" t="str">
        <f>IF(COUNTIF(BB6,"0")&gt;0,"PASA","NO PASA")</f>
        <v>PASA</v>
      </c>
      <c r="I4" s="444"/>
      <c r="J4" s="445"/>
      <c r="BA4" s="221" t="s">
        <v>174</v>
      </c>
      <c r="BB4" s="123">
        <f>COUNTIF(E17:F23,BA4)</f>
        <v>0</v>
      </c>
      <c r="BC4" s="225" t="s">
        <v>262</v>
      </c>
    </row>
    <row r="5" spans="2:55" ht="40.5" customHeight="1" thickBot="1">
      <c r="B5" s="236" t="s">
        <v>203</v>
      </c>
      <c r="C5" s="446">
        <v>46272</v>
      </c>
      <c r="D5" s="447"/>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48" t="s">
        <v>243</v>
      </c>
      <c r="C7" s="451" t="s">
        <v>252</v>
      </c>
      <c r="D7" s="452"/>
      <c r="E7" s="164"/>
      <c r="G7" s="168" t="s">
        <v>199</v>
      </c>
      <c r="H7" s="169">
        <v>18</v>
      </c>
      <c r="I7" s="169">
        <f>SUM(F32:F35)</f>
        <v>18</v>
      </c>
      <c r="J7" s="170">
        <f t="shared" si="0"/>
        <v>1</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5</v>
      </c>
      <c r="J11" s="170">
        <f t="shared" ref="J11:J12" si="1">I11/H11</f>
        <v>1</v>
      </c>
    </row>
    <row r="12" spans="2:55" ht="72.75" customHeight="1" thickBot="1">
      <c r="B12" s="219" t="s">
        <v>244</v>
      </c>
      <c r="C12" s="459" t="s">
        <v>246</v>
      </c>
      <c r="D12" s="460"/>
      <c r="E12" s="166"/>
      <c r="G12" s="198" t="s">
        <v>271</v>
      </c>
      <c r="H12" s="199">
        <f>SUM(H6:H11)</f>
        <v>117</v>
      </c>
      <c r="I12" s="199">
        <f>SUM(I6:I11)</f>
        <v>117</v>
      </c>
      <c r="J12" s="200">
        <f t="shared" si="1"/>
        <v>1</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1</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G20" s="563"/>
      <c r="H20" s="564"/>
      <c r="I20" s="564"/>
      <c r="J20" s="564"/>
      <c r="K20" s="565"/>
      <c r="V20" s="122"/>
      <c r="AY20" s="172" t="str">
        <f t="shared" si="2"/>
        <v>Yes</v>
      </c>
      <c r="BA20" s="222"/>
      <c r="BB20" s="122"/>
      <c r="BC20" s="122"/>
    </row>
    <row r="21" spans="2:58" s="172" customFormat="1" ht="45.95" customHeight="1">
      <c r="B21" s="449"/>
      <c r="C21" s="214">
        <v>5</v>
      </c>
      <c r="D21" s="215" t="s">
        <v>213</v>
      </c>
      <c r="E21" s="478" t="s">
        <v>266</v>
      </c>
      <c r="F21" s="479"/>
      <c r="G21" s="475"/>
      <c r="H21" s="476"/>
      <c r="I21" s="476"/>
      <c r="J21" s="476"/>
      <c r="K21" s="477"/>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c r="H24" s="466"/>
      <c r="I24" s="466"/>
      <c r="J24" s="466"/>
      <c r="K24" s="467"/>
    </row>
    <row r="25" spans="2:58" ht="63.75" customHeight="1">
      <c r="B25" s="449" t="s">
        <v>254</v>
      </c>
      <c r="C25" s="174">
        <v>1</v>
      </c>
      <c r="D25" s="191" t="s">
        <v>259</v>
      </c>
      <c r="E25" s="175" t="s">
        <v>266</v>
      </c>
      <c r="F25" s="176">
        <f>IF(E25="Yes",5,0)</f>
        <v>5</v>
      </c>
      <c r="G25" s="497"/>
      <c r="H25" s="498"/>
      <c r="I25" s="498"/>
      <c r="J25" s="498"/>
      <c r="K25" s="499"/>
    </row>
    <row r="26" spans="2:58" ht="45.95" customHeight="1">
      <c r="B26" s="449"/>
      <c r="C26" s="127">
        <v>2</v>
      </c>
      <c r="D26" s="192" t="s">
        <v>219</v>
      </c>
      <c r="E26" s="140" t="s">
        <v>266</v>
      </c>
      <c r="F26" s="135">
        <f>IF(E26="Yes",5,0)</f>
        <v>5</v>
      </c>
      <c r="G26" s="500"/>
      <c r="H26" s="501"/>
      <c r="I26" s="501"/>
      <c r="J26" s="501"/>
      <c r="K26" s="502"/>
    </row>
    <row r="27" spans="2:58" ht="45.95" customHeight="1">
      <c r="B27" s="449"/>
      <c r="C27" s="143">
        <v>3</v>
      </c>
      <c r="D27" s="193" t="s">
        <v>216</v>
      </c>
      <c r="E27" s="177" t="s">
        <v>266</v>
      </c>
      <c r="F27" s="178">
        <f>IF(E27="Yes",5,0)</f>
        <v>5</v>
      </c>
      <c r="G27" s="503"/>
      <c r="H27" s="504"/>
      <c r="I27" s="504"/>
      <c r="J27" s="504"/>
      <c r="K27" s="505"/>
    </row>
    <row r="28" spans="2:58" ht="51.75" customHeight="1">
      <c r="B28" s="449"/>
      <c r="C28" s="127">
        <v>4</v>
      </c>
      <c r="D28" s="192" t="s">
        <v>217</v>
      </c>
      <c r="E28" s="140" t="s">
        <v>266</v>
      </c>
      <c r="F28" s="135">
        <f t="shared" ref="F28:F32" si="3">IF(E28="Yes",1,0)</f>
        <v>1</v>
      </c>
      <c r="G28" s="500"/>
      <c r="H28" s="501"/>
      <c r="I28" s="501"/>
      <c r="J28" s="501"/>
      <c r="K28" s="502"/>
    </row>
    <row r="29" spans="2:58" ht="50.25" customHeight="1">
      <c r="B29" s="449"/>
      <c r="C29" s="151">
        <v>5</v>
      </c>
      <c r="D29" s="193" t="s">
        <v>218</v>
      </c>
      <c r="E29" s="177" t="s">
        <v>266</v>
      </c>
      <c r="F29" s="178">
        <f t="shared" si="3"/>
        <v>1</v>
      </c>
      <c r="G29" s="509"/>
      <c r="H29" s="510"/>
      <c r="I29" s="510"/>
      <c r="J29" s="510"/>
      <c r="K29" s="511"/>
    </row>
    <row r="30" spans="2:58" ht="47.25" customHeight="1">
      <c r="B30" s="449"/>
      <c r="C30" s="131">
        <v>6</v>
      </c>
      <c r="D30" s="192" t="s">
        <v>220</v>
      </c>
      <c r="E30" s="140" t="s">
        <v>266</v>
      </c>
      <c r="F30" s="135">
        <f>IF(E30="Yes",7,0)</f>
        <v>7</v>
      </c>
      <c r="G30" s="506"/>
      <c r="H30" s="507"/>
      <c r="I30" s="507"/>
      <c r="J30" s="507"/>
      <c r="K30" s="508"/>
    </row>
    <row r="31" spans="2:58" ht="48.75" customHeight="1" thickBot="1">
      <c r="B31" s="450"/>
      <c r="C31" s="158">
        <v>7</v>
      </c>
      <c r="D31" s="194" t="s">
        <v>221</v>
      </c>
      <c r="E31" s="179" t="s">
        <v>266</v>
      </c>
      <c r="F31" s="180">
        <f>IF(E31="Yes",7,0)</f>
        <v>7</v>
      </c>
      <c r="G31" s="503"/>
      <c r="H31" s="504"/>
      <c r="I31" s="504"/>
      <c r="J31" s="504"/>
      <c r="K31" s="505"/>
    </row>
    <row r="32" spans="2:58" ht="48.75" customHeight="1">
      <c r="B32" s="448" t="s">
        <v>257</v>
      </c>
      <c r="C32" s="227">
        <v>1</v>
      </c>
      <c r="D32" s="206" t="s">
        <v>222</v>
      </c>
      <c r="E32" s="181" t="s">
        <v>266</v>
      </c>
      <c r="F32" s="182">
        <f t="shared" si="3"/>
        <v>1</v>
      </c>
      <c r="G32" s="512"/>
      <c r="H32" s="513"/>
      <c r="I32" s="513"/>
      <c r="J32" s="513"/>
      <c r="K32" s="514"/>
    </row>
    <row r="33" spans="2:11" ht="45.95" customHeight="1">
      <c r="B33" s="449"/>
      <c r="C33" s="143">
        <v>2</v>
      </c>
      <c r="D33" s="203" t="s">
        <v>223</v>
      </c>
      <c r="E33" s="177" t="s">
        <v>266</v>
      </c>
      <c r="F33" s="178">
        <f>IF(E33="Yes",5,0)</f>
        <v>5</v>
      </c>
      <c r="G33" s="503"/>
      <c r="H33" s="504"/>
      <c r="I33" s="504"/>
      <c r="J33" s="504"/>
      <c r="K33" s="505"/>
    </row>
    <row r="34" spans="2:11" ht="45.95" customHeight="1">
      <c r="B34" s="449"/>
      <c r="C34" s="131">
        <v>3</v>
      </c>
      <c r="D34" s="202" t="s">
        <v>224</v>
      </c>
      <c r="E34" s="140" t="s">
        <v>266</v>
      </c>
      <c r="F34" s="135">
        <f>IF(E34="Yes",5,0)</f>
        <v>5</v>
      </c>
      <c r="G34" s="500"/>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509"/>
      <c r="H37" s="510"/>
      <c r="I37" s="510"/>
      <c r="J37" s="510"/>
      <c r="K37" s="511"/>
    </row>
    <row r="38" spans="2:11" ht="50.25"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315</v>
      </c>
      <c r="F39" s="178">
        <f>IF(OR(E39="Yes",E39="NA"),7,0)</f>
        <v>7</v>
      </c>
      <c r="G39" s="509"/>
      <c r="H39" s="510"/>
      <c r="I39" s="510"/>
      <c r="J39" s="510"/>
      <c r="K39" s="511"/>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518"/>
      <c r="H41" s="519"/>
      <c r="I41" s="519"/>
      <c r="J41" s="519"/>
      <c r="K41" s="520"/>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266</v>
      </c>
      <c r="F44" s="135">
        <f>IF(E44="Yes",1,0)</f>
        <v>1</v>
      </c>
      <c r="G44" s="500"/>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266</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266</v>
      </c>
      <c r="F53" s="190">
        <f>IF(E53="Yes",1,0)</f>
        <v>1</v>
      </c>
      <c r="G53" s="503"/>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9">
    <mergeCell ref="G20:K20"/>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K41"/>
    <mergeCell ref="G37:K37"/>
    <mergeCell ref="G39:K39"/>
    <mergeCell ref="G23:K23"/>
    <mergeCell ref="B36:B40"/>
    <mergeCell ref="G36:K36"/>
    <mergeCell ref="G38:K38"/>
    <mergeCell ref="G40:K40"/>
    <mergeCell ref="B24:D24"/>
    <mergeCell ref="G24:K24"/>
    <mergeCell ref="B25:B31"/>
    <mergeCell ref="G25:K25"/>
    <mergeCell ref="G26:K26"/>
    <mergeCell ref="G27:K27"/>
    <mergeCell ref="G28:K28"/>
    <mergeCell ref="G30:K30"/>
    <mergeCell ref="G31:K31"/>
    <mergeCell ref="G29:K29"/>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319" priority="9" operator="notContains" text="YES">
      <formula>ISERROR(SEARCH("YES",E17))</formula>
    </cfRule>
  </conditionalFormatting>
  <conditionalFormatting sqref="E43:E53">
    <cfRule type="containsText" dxfId="318" priority="7" operator="containsText" text="No">
      <formula>NOT(ISERROR(SEARCH("No",E43)))</formula>
    </cfRule>
  </conditionalFormatting>
  <conditionalFormatting sqref="E25:F42">
    <cfRule type="containsText" dxfId="317" priority="8" operator="containsText" text="No">
      <formula>NOT(ISERROR(SEARCH("No",E25)))</formula>
    </cfRule>
  </conditionalFormatting>
  <conditionalFormatting sqref="H4:J4">
    <cfRule type="cellIs" dxfId="316" priority="1" operator="equal">
      <formula>"NO PASA"</formula>
    </cfRule>
    <cfRule type="cellIs" dxfId="315" priority="2" operator="equal">
      <formula>"NO PASA"</formula>
    </cfRule>
    <cfRule type="cellIs" dxfId="314" priority="3" operator="equal">
      <formula>"PASA"</formula>
    </cfRule>
    <cfRule type="cellIs" dxfId="313" priority="4" operator="equal">
      <formula>"PASA"</formula>
    </cfRule>
    <cfRule type="cellIs" dxfId="312" priority="5" operator="equal">
      <formula>"NO PASA"</formula>
    </cfRule>
    <cfRule type="containsText" dxfId="311" priority="6" operator="containsText" text="PASA">
      <formula>NOT(ISERROR(SEARCH("PASA",H4)))</formula>
    </cfRule>
    <cfRule type="cellIs" dxfId="310" priority="13" operator="equal">
      <formula>$BC$7</formula>
    </cfRule>
    <cfRule type="cellIs" dxfId="309" priority="14" operator="equal">
      <formula>$BC$6</formula>
    </cfRule>
    <cfRule type="cellIs" dxfId="308" priority="15" operator="equal">
      <formula>$BC$4</formula>
    </cfRule>
  </conditionalFormatting>
  <conditionalFormatting sqref="I14">
    <cfRule type="cellIs" dxfId="307" priority="10" operator="greaterThanOrEqual">
      <formula>0.9</formula>
    </cfRule>
    <cfRule type="cellIs" dxfId="306" priority="11" operator="between">
      <formula>0.71</formula>
      <formula>0.9</formula>
    </cfRule>
    <cfRule type="cellIs" dxfId="305" priority="12" operator="lessThan">
      <formula>0.71</formula>
    </cfRule>
  </conditionalFormatting>
  <dataValidations count="3">
    <dataValidation type="list" allowBlank="1" showInputMessage="1" showErrorMessage="1" sqref="E38:E39 E50:E51" xr:uid="{00000000-0002-0000-0400-000000000000}">
      <formula1>"Yes,No,NA"</formula1>
    </dataValidation>
    <dataValidation type="list" allowBlank="1" showInputMessage="1" showErrorMessage="1" sqref="E52:E53 E25:E37 E40:E49" xr:uid="{00000000-0002-0000-0400-000001000000}">
      <formula1>"Yes,No"</formula1>
    </dataValidation>
    <dataValidation type="list" allowBlank="1" showInputMessage="1" showErrorMessage="1" sqref="E17:E23" xr:uid="{00000000-0002-0000-0400-000002000000}">
      <formula1>"Yes,No,Cured in Moment"</formula1>
    </dataValidation>
  </dataValidations>
  <pageMargins left="0.25" right="0.25" top="0.75" bottom="0.75" header="0.3" footer="0.3"/>
  <pageSetup paperSize="9" scale="47" fitToHeight="3" orientation="landscape" r:id="rId1"/>
  <rowBreaks count="1" manualBreakCount="1">
    <brk id="40" max="10"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39997558519241921"/>
  </sheetPr>
  <dimension ref="B1:H103"/>
  <sheetViews>
    <sheetView zoomScale="50" zoomScaleNormal="50" workbookViewId="0">
      <selection activeCell="C1" sqref="C1"/>
    </sheetView>
  </sheetViews>
  <sheetFormatPr baseColWidth="10" defaultColWidth="8.85546875" defaultRowHeight="18"/>
  <cols>
    <col min="1" max="1" width="4.42578125" style="124" customWidth="1"/>
    <col min="2" max="2" width="5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317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66.75" customHeight="1">
      <c r="B7" s="295"/>
      <c r="C7" s="130"/>
      <c r="D7" s="284"/>
      <c r="E7" s="130"/>
      <c r="F7" s="134"/>
    </row>
    <row r="8" spans="2:8" ht="68.25" customHeight="1">
      <c r="B8" s="297"/>
      <c r="C8" s="130"/>
      <c r="D8" s="284"/>
      <c r="E8" s="127"/>
      <c r="F8" s="135"/>
    </row>
    <row r="9" spans="2:8" ht="57.75" customHeight="1">
      <c r="B9" s="297"/>
      <c r="C9" s="130"/>
      <c r="D9" s="284"/>
      <c r="E9" s="127"/>
      <c r="F9" s="136"/>
    </row>
    <row r="10" spans="2:8" ht="69.75" customHeight="1">
      <c r="B10" s="297"/>
      <c r="C10" s="130"/>
      <c r="D10" s="284"/>
      <c r="E10" s="131"/>
      <c r="F10" s="136"/>
    </row>
    <row r="11" spans="2:8" ht="39.950000000000003" customHeight="1">
      <c r="B11" s="298"/>
      <c r="C11" s="130"/>
      <c r="D11" s="284"/>
      <c r="E11" s="131"/>
      <c r="F11" s="136"/>
    </row>
    <row r="12" spans="2:8" ht="44.1" customHeight="1">
      <c r="B12" s="295"/>
      <c r="C12" s="130"/>
      <c r="D12" s="284"/>
      <c r="E12" s="131"/>
      <c r="F12" s="136"/>
    </row>
    <row r="13" spans="2:8" s="126" customFormat="1" ht="30.95" customHeight="1">
      <c r="B13" s="295"/>
      <c r="C13" s="130"/>
      <c r="D13" s="284"/>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268</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304" priority="1" stopIfTrue="1">
      <formula>IF($E31="NA",TRUE,FALSE)</formula>
    </cfRule>
  </conditionalFormatting>
  <dataValidations count="3">
    <dataValidation type="list" allowBlank="1" showInputMessage="1" showErrorMessage="1" sqref="E31" xr:uid="{00000000-0002-0000-0500-000000000000}">
      <formula1>"Yes,No,NA"</formula1>
    </dataValidation>
    <dataValidation type="list" allowBlank="1" showInputMessage="1" showErrorMessage="1" sqref="E17" xr:uid="{00000000-0002-0000-0500-000001000000}">
      <formula1>"Yes,No"</formula1>
    </dataValidation>
    <dataValidation type="list" allowBlank="1" showInputMessage="1" showErrorMessage="1" sqref="E5:E6 E20:E21 E34:E35" xr:uid="{00000000-0002-0000-0500-000002000000}">
      <formula1>"Yes,No,Cured in Moment"</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3" tint="0.79998168889431442"/>
  </sheetPr>
  <dimension ref="A1:BF56"/>
  <sheetViews>
    <sheetView zoomScale="60" zoomScaleNormal="60" workbookViewId="0">
      <selection activeCell="G2" sqref="G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60.75" customHeight="1" thickBot="1">
      <c r="B3" s="210" t="s">
        <v>208</v>
      </c>
      <c r="C3" s="547" t="s">
        <v>360</v>
      </c>
      <c r="D3" s="548"/>
      <c r="E3" s="161"/>
      <c r="G3" s="220"/>
      <c r="H3" s="220"/>
      <c r="I3" s="220"/>
      <c r="J3" s="220"/>
    </row>
    <row r="4" spans="2:55" ht="114" customHeight="1" thickBot="1">
      <c r="B4" s="211" t="s">
        <v>275</v>
      </c>
      <c r="C4" s="549" t="s">
        <v>365</v>
      </c>
      <c r="D4" s="550"/>
      <c r="E4" s="150"/>
      <c r="G4" s="186" t="s">
        <v>11</v>
      </c>
      <c r="H4" s="443" t="str">
        <f>IF(COUNTIF(BB6,"0")&gt;0,"PASA","NO PASA")</f>
        <v>PASA</v>
      </c>
      <c r="I4" s="444"/>
      <c r="J4" s="445"/>
      <c r="BA4" s="221" t="s">
        <v>174</v>
      </c>
      <c r="BB4" s="123">
        <f>COUNTIF(E17:F23,BA4)</f>
        <v>0</v>
      </c>
      <c r="BC4" s="225" t="s">
        <v>262</v>
      </c>
    </row>
    <row r="5" spans="2:55" ht="55.5" customHeight="1" thickBot="1">
      <c r="B5" s="236" t="s">
        <v>203</v>
      </c>
      <c r="C5" s="551">
        <v>46272</v>
      </c>
      <c r="D5" s="552"/>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48" t="s">
        <v>243</v>
      </c>
      <c r="C7" s="451" t="s">
        <v>252</v>
      </c>
      <c r="D7" s="452"/>
      <c r="E7" s="164"/>
      <c r="G7" s="168" t="s">
        <v>199</v>
      </c>
      <c r="H7" s="169">
        <v>18</v>
      </c>
      <c r="I7" s="169">
        <f>SUM(F32:F35)</f>
        <v>18</v>
      </c>
      <c r="J7" s="170">
        <f t="shared" si="0"/>
        <v>1</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5</v>
      </c>
      <c r="J11" s="170">
        <f t="shared" ref="J11:J12" si="1">I11/H11</f>
        <v>1</v>
      </c>
    </row>
    <row r="12" spans="2:55" ht="72.75" customHeight="1" thickBot="1">
      <c r="B12" s="219" t="s">
        <v>244</v>
      </c>
      <c r="C12" s="459" t="s">
        <v>246</v>
      </c>
      <c r="D12" s="460"/>
      <c r="E12" s="166"/>
      <c r="G12" s="198" t="s">
        <v>271</v>
      </c>
      <c r="H12" s="199">
        <f>SUM(H6:H11)</f>
        <v>117</v>
      </c>
      <c r="I12" s="199">
        <f>SUM(I6:I11)</f>
        <v>117</v>
      </c>
      <c r="J12" s="200">
        <f t="shared" si="1"/>
        <v>1</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1</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G20" s="475"/>
      <c r="H20" s="476"/>
      <c r="I20" s="476"/>
      <c r="J20" s="476"/>
      <c r="K20" s="477"/>
      <c r="V20" s="122"/>
      <c r="AY20" s="172" t="str">
        <f t="shared" si="2"/>
        <v>Yes</v>
      </c>
      <c r="BA20" s="222"/>
      <c r="BB20" s="122"/>
      <c r="BC20" s="122"/>
    </row>
    <row r="21" spans="2:58" s="172" customFormat="1" ht="45.95" customHeight="1">
      <c r="B21" s="449"/>
      <c r="C21" s="214">
        <v>5</v>
      </c>
      <c r="D21" s="215" t="s">
        <v>213</v>
      </c>
      <c r="E21" s="478" t="s">
        <v>266</v>
      </c>
      <c r="F21" s="479"/>
      <c r="G21" s="480"/>
      <c r="H21" s="481"/>
      <c r="I21" s="481"/>
      <c r="J21" s="481"/>
      <c r="K21" s="482"/>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542"/>
      <c r="H25" s="542"/>
      <c r="I25" s="542"/>
      <c r="J25" s="542"/>
      <c r="K25" s="542"/>
    </row>
    <row r="26" spans="2:58" ht="45.95" customHeight="1">
      <c r="B26" s="449"/>
      <c r="C26" s="127">
        <v>2</v>
      </c>
      <c r="D26" s="192" t="s">
        <v>219</v>
      </c>
      <c r="E26" s="140" t="s">
        <v>266</v>
      </c>
      <c r="F26" s="135">
        <f>IF(E26="Yes",5,0)</f>
        <v>5</v>
      </c>
      <c r="G26" s="500"/>
      <c r="H26" s="501"/>
      <c r="I26" s="501"/>
      <c r="J26" s="501"/>
      <c r="K26" s="502"/>
    </row>
    <row r="27" spans="2:58" ht="45.95" customHeight="1">
      <c r="B27" s="449"/>
      <c r="C27" s="143">
        <v>3</v>
      </c>
      <c r="D27" s="193" t="s">
        <v>216</v>
      </c>
      <c r="E27" s="177" t="s">
        <v>266</v>
      </c>
      <c r="F27" s="178">
        <f>IF(E27="Yes",5,0)</f>
        <v>5</v>
      </c>
      <c r="G27" s="503"/>
      <c r="H27" s="504"/>
      <c r="I27" s="504"/>
      <c r="J27" s="504"/>
      <c r="K27" s="505"/>
    </row>
    <row r="28" spans="2:58" ht="51.75" customHeight="1">
      <c r="B28" s="449"/>
      <c r="C28" s="127">
        <v>4</v>
      </c>
      <c r="D28" s="192" t="s">
        <v>217</v>
      </c>
      <c r="E28" s="140" t="s">
        <v>266</v>
      </c>
      <c r="F28" s="135">
        <f t="shared" ref="F28:F32" si="3">IF(E28="Yes",1,0)</f>
        <v>1</v>
      </c>
      <c r="G28" s="543"/>
      <c r="H28" s="543"/>
      <c r="I28" s="543"/>
      <c r="J28" s="543"/>
      <c r="K28" s="543"/>
    </row>
    <row r="29" spans="2:58" ht="50.25" customHeight="1">
      <c r="B29" s="449"/>
      <c r="C29" s="151">
        <v>5</v>
      </c>
      <c r="D29" s="193" t="s">
        <v>218</v>
      </c>
      <c r="E29" s="177" t="s">
        <v>266</v>
      </c>
      <c r="F29" s="178">
        <f t="shared" si="3"/>
        <v>1</v>
      </c>
      <c r="G29" s="544"/>
      <c r="H29" s="544"/>
      <c r="I29" s="544"/>
      <c r="J29" s="544"/>
      <c r="K29" s="544"/>
    </row>
    <row r="30" spans="2:58" ht="47.25" customHeight="1">
      <c r="B30" s="449"/>
      <c r="C30" s="131">
        <v>6</v>
      </c>
      <c r="D30" s="192" t="s">
        <v>220</v>
      </c>
      <c r="E30" s="140" t="s">
        <v>266</v>
      </c>
      <c r="F30" s="135">
        <f>IF(E30="Yes",7,0)</f>
        <v>7</v>
      </c>
      <c r="G30" s="500"/>
      <c r="H30" s="501"/>
      <c r="I30" s="501"/>
      <c r="J30" s="501"/>
      <c r="K30" s="502"/>
    </row>
    <row r="31" spans="2:58" ht="48.75" customHeight="1" thickBot="1">
      <c r="B31" s="450"/>
      <c r="C31" s="158">
        <v>7</v>
      </c>
      <c r="D31" s="194" t="s">
        <v>221</v>
      </c>
      <c r="E31" s="179" t="s">
        <v>266</v>
      </c>
      <c r="F31" s="180">
        <f>IF(E31="Yes",7,0)</f>
        <v>7</v>
      </c>
      <c r="G31" s="545"/>
      <c r="H31" s="546"/>
      <c r="I31" s="546"/>
      <c r="J31" s="546"/>
      <c r="K31" s="562"/>
    </row>
    <row r="32" spans="2:58" ht="48.75" customHeight="1">
      <c r="B32" s="448" t="s">
        <v>257</v>
      </c>
      <c r="C32" s="227">
        <v>1</v>
      </c>
      <c r="D32" s="206" t="s">
        <v>222</v>
      </c>
      <c r="E32" s="181" t="s">
        <v>266</v>
      </c>
      <c r="F32" s="182">
        <f t="shared" si="3"/>
        <v>1</v>
      </c>
      <c r="G32" s="512"/>
      <c r="H32" s="513"/>
      <c r="I32" s="513"/>
      <c r="J32" s="513"/>
      <c r="K32" s="514"/>
    </row>
    <row r="33" spans="1:11" ht="45.95" customHeight="1">
      <c r="B33" s="449"/>
      <c r="C33" s="143">
        <v>2</v>
      </c>
      <c r="D33" s="203" t="s">
        <v>223</v>
      </c>
      <c r="E33" s="177" t="s">
        <v>266</v>
      </c>
      <c r="F33" s="178">
        <f>IF(E33="Yes",5,0)</f>
        <v>5</v>
      </c>
      <c r="G33" s="540"/>
      <c r="H33" s="540"/>
      <c r="I33" s="540"/>
      <c r="J33" s="540"/>
      <c r="K33" s="540"/>
    </row>
    <row r="34" spans="1:11" ht="45.95" customHeight="1">
      <c r="B34" s="449"/>
      <c r="C34" s="131">
        <v>3</v>
      </c>
      <c r="D34" s="202" t="s">
        <v>224</v>
      </c>
      <c r="E34" s="140" t="s">
        <v>266</v>
      </c>
      <c r="F34" s="135">
        <f>IF(E34="Yes",5,0)</f>
        <v>5</v>
      </c>
      <c r="G34" s="500"/>
      <c r="H34" s="501"/>
      <c r="I34" s="501"/>
      <c r="J34" s="501"/>
      <c r="K34" s="502"/>
    </row>
    <row r="35" spans="1:11" ht="48.75" customHeight="1" thickBot="1">
      <c r="B35" s="450"/>
      <c r="C35" s="158">
        <v>4</v>
      </c>
      <c r="D35" s="207" t="s">
        <v>225</v>
      </c>
      <c r="E35" s="179" t="s">
        <v>266</v>
      </c>
      <c r="F35" s="180">
        <f>IF(E35="Yes",7,0)</f>
        <v>7</v>
      </c>
      <c r="G35" s="515"/>
      <c r="H35" s="516"/>
      <c r="I35" s="516"/>
      <c r="J35" s="516"/>
      <c r="K35" s="517"/>
    </row>
    <row r="36" spans="1:11" ht="45.95" customHeight="1">
      <c r="B36" s="449" t="s">
        <v>200</v>
      </c>
      <c r="C36" s="130">
        <v>1</v>
      </c>
      <c r="D36" s="208" t="s">
        <v>272</v>
      </c>
      <c r="E36" s="181" t="s">
        <v>266</v>
      </c>
      <c r="F36" s="182">
        <f>IF(E36="Yes",7,0)</f>
        <v>7</v>
      </c>
      <c r="G36" s="488"/>
      <c r="H36" s="489"/>
      <c r="I36" s="489"/>
      <c r="J36" s="489"/>
      <c r="K36" s="490"/>
    </row>
    <row r="37" spans="1:11" ht="45.95" customHeight="1">
      <c r="B37" s="449"/>
      <c r="C37" s="174">
        <v>2</v>
      </c>
      <c r="D37" s="203" t="s">
        <v>226</v>
      </c>
      <c r="E37" s="177" t="s">
        <v>266</v>
      </c>
      <c r="F37" s="178">
        <f>IF(E37="Yes",5,0)</f>
        <v>5</v>
      </c>
      <c r="G37" s="509"/>
      <c r="H37" s="510"/>
      <c r="I37" s="510"/>
      <c r="J37" s="510"/>
      <c r="K37" s="511"/>
    </row>
    <row r="38" spans="1:11" ht="50.25" customHeight="1">
      <c r="B38" s="449"/>
      <c r="C38" s="127">
        <v>3</v>
      </c>
      <c r="D38" s="202" t="s">
        <v>228</v>
      </c>
      <c r="E38" s="140" t="s">
        <v>266</v>
      </c>
      <c r="F38" s="135">
        <f>IF(OR(E38="Yes",E38="NA"),7,0)</f>
        <v>7</v>
      </c>
      <c r="G38" s="491"/>
      <c r="H38" s="492"/>
      <c r="I38" s="492"/>
      <c r="J38" s="492"/>
      <c r="K38" s="493"/>
    </row>
    <row r="39" spans="1:11" ht="68.25" customHeight="1">
      <c r="B39" s="449"/>
      <c r="C39" s="174">
        <v>4</v>
      </c>
      <c r="D39" s="203" t="s">
        <v>273</v>
      </c>
      <c r="E39" s="177" t="s">
        <v>266</v>
      </c>
      <c r="F39" s="178">
        <f>IF(OR(E39="Yes",E39="NA"),7,0)</f>
        <v>7</v>
      </c>
      <c r="G39" s="509"/>
      <c r="H39" s="510"/>
      <c r="I39" s="510"/>
      <c r="J39" s="510"/>
      <c r="K39" s="511"/>
    </row>
    <row r="40" spans="1:11" ht="45.95" customHeight="1" thickBot="1">
      <c r="B40" s="449"/>
      <c r="C40" s="132">
        <v>5</v>
      </c>
      <c r="D40" s="209" t="s">
        <v>227</v>
      </c>
      <c r="E40" s="142" t="s">
        <v>266</v>
      </c>
      <c r="F40" s="137">
        <f>IF(E40="Yes",5,0)</f>
        <v>5</v>
      </c>
      <c r="G40" s="494"/>
      <c r="H40" s="495"/>
      <c r="I40" s="495"/>
      <c r="J40" s="495"/>
      <c r="K40" s="496"/>
    </row>
    <row r="41" spans="1:11" ht="50.25" customHeight="1">
      <c r="B41" s="448" t="s">
        <v>255</v>
      </c>
      <c r="C41" s="174">
        <v>1</v>
      </c>
      <c r="D41" s="201" t="s">
        <v>229</v>
      </c>
      <c r="E41" s="175" t="s">
        <v>266</v>
      </c>
      <c r="F41" s="176">
        <f>IF(E41="Yes",5,0)</f>
        <v>5</v>
      </c>
      <c r="G41" s="518"/>
      <c r="H41" s="519"/>
      <c r="I41" s="519"/>
      <c r="J41" s="519"/>
      <c r="K41" s="520"/>
    </row>
    <row r="42" spans="1:11" ht="47.25" customHeight="1">
      <c r="B42" s="449"/>
      <c r="C42" s="127">
        <v>2</v>
      </c>
      <c r="D42" s="202" t="s">
        <v>237</v>
      </c>
      <c r="E42" s="140" t="s">
        <v>266</v>
      </c>
      <c r="F42" s="135">
        <f>IF(E42="Yes",5,0)</f>
        <v>5</v>
      </c>
      <c r="G42" s="500"/>
      <c r="H42" s="501"/>
      <c r="I42" s="501"/>
      <c r="J42" s="501"/>
      <c r="K42" s="502"/>
    </row>
    <row r="43" spans="1:11" ht="45.95" customHeight="1">
      <c r="B43" s="449"/>
      <c r="C43" s="143">
        <v>3</v>
      </c>
      <c r="D43" s="212" t="s">
        <v>236</v>
      </c>
      <c r="E43" s="140" t="s">
        <v>266</v>
      </c>
      <c r="F43" s="178">
        <f>IF(E43="Yes",7,0)</f>
        <v>7</v>
      </c>
      <c r="G43" s="503"/>
      <c r="H43" s="504"/>
      <c r="I43" s="504"/>
      <c r="J43" s="504"/>
      <c r="K43" s="505"/>
    </row>
    <row r="44" spans="1:11" ht="45.95" customHeight="1">
      <c r="A44" s="124" t="s">
        <v>366</v>
      </c>
      <c r="B44" s="449"/>
      <c r="C44" s="127">
        <v>4</v>
      </c>
      <c r="D44" s="202" t="s">
        <v>235</v>
      </c>
      <c r="E44" s="140" t="s">
        <v>266</v>
      </c>
      <c r="F44" s="135">
        <f>IF(E44="Yes",1,0)</f>
        <v>1</v>
      </c>
      <c r="G44" s="500"/>
      <c r="H44" s="501"/>
      <c r="I44" s="501"/>
      <c r="J44" s="501"/>
      <c r="K44" s="502"/>
    </row>
    <row r="45" spans="1:11" ht="45.95" customHeight="1" thickBot="1">
      <c r="B45" s="450"/>
      <c r="C45" s="158">
        <v>5</v>
      </c>
      <c r="D45" s="207" t="s">
        <v>230</v>
      </c>
      <c r="E45" s="179" t="s">
        <v>266</v>
      </c>
      <c r="F45" s="180">
        <f t="shared" ref="F45:F49" si="4">IF(E45="Yes",1,0)</f>
        <v>1</v>
      </c>
      <c r="G45" s="515"/>
      <c r="H45" s="516"/>
      <c r="I45" s="516"/>
      <c r="J45" s="516"/>
      <c r="K45" s="517"/>
    </row>
    <row r="46" spans="1:11" ht="45.95" customHeight="1">
      <c r="B46" s="448" t="s">
        <v>242</v>
      </c>
      <c r="C46" s="130">
        <v>1</v>
      </c>
      <c r="D46" s="213" t="s">
        <v>238</v>
      </c>
      <c r="E46" s="140" t="s">
        <v>266</v>
      </c>
      <c r="F46" s="135">
        <f>IF(E46="Yes",7,0)</f>
        <v>7</v>
      </c>
      <c r="G46" s="521"/>
      <c r="H46" s="522"/>
      <c r="I46" s="522"/>
      <c r="J46" s="522"/>
      <c r="K46" s="523"/>
    </row>
    <row r="47" spans="1:11" ht="45.95" customHeight="1">
      <c r="B47" s="449"/>
      <c r="C47" s="143">
        <v>2</v>
      </c>
      <c r="D47" s="193" t="s">
        <v>239</v>
      </c>
      <c r="E47" s="177" t="s">
        <v>266</v>
      </c>
      <c r="F47" s="178">
        <f>IF(E47="Yes",5,0)</f>
        <v>5</v>
      </c>
      <c r="G47" s="503"/>
      <c r="H47" s="504"/>
      <c r="I47" s="504"/>
      <c r="J47" s="504"/>
      <c r="K47" s="505"/>
    </row>
    <row r="48" spans="1: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41"/>
      <c r="H49" s="541"/>
      <c r="I49" s="541"/>
      <c r="J49" s="541"/>
      <c r="K49" s="541"/>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266</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266</v>
      </c>
      <c r="F53" s="190">
        <f>IF(E53="Yes",1,0)</f>
        <v>1</v>
      </c>
      <c r="G53" s="503"/>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9">
    <mergeCell ref="G31:K31"/>
    <mergeCell ref="G39:K39"/>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41:K41"/>
    <mergeCell ref="G23:K23"/>
    <mergeCell ref="B36:B40"/>
    <mergeCell ref="G36:K36"/>
    <mergeCell ref="G38:K38"/>
    <mergeCell ref="G40:K40"/>
    <mergeCell ref="B24:D24"/>
    <mergeCell ref="G24:K24"/>
    <mergeCell ref="B25:B31"/>
    <mergeCell ref="G25:K25"/>
    <mergeCell ref="G26:K26"/>
    <mergeCell ref="G27:K27"/>
    <mergeCell ref="G28:K28"/>
    <mergeCell ref="G29:K29"/>
    <mergeCell ref="G37:K37"/>
    <mergeCell ref="B49:B53"/>
    <mergeCell ref="G49:K49"/>
    <mergeCell ref="G50:K50"/>
    <mergeCell ref="G51:K51"/>
    <mergeCell ref="G52:K52"/>
    <mergeCell ref="G53:K53"/>
    <mergeCell ref="G20:K20"/>
    <mergeCell ref="G30:K30"/>
    <mergeCell ref="B46:B48"/>
    <mergeCell ref="G46:K46"/>
    <mergeCell ref="G47:K47"/>
    <mergeCell ref="G48:K48"/>
    <mergeCell ref="B41:B45"/>
    <mergeCell ref="G42:K42"/>
    <mergeCell ref="G43:K43"/>
    <mergeCell ref="B32:B35"/>
    <mergeCell ref="G32:K32"/>
    <mergeCell ref="G33:K33"/>
    <mergeCell ref="G34:K34"/>
    <mergeCell ref="G35:K35"/>
    <mergeCell ref="G44:K44"/>
    <mergeCell ref="G45:K45"/>
  </mergeCells>
  <conditionalFormatting sqref="E17:E23">
    <cfRule type="notContainsText" dxfId="303" priority="9" operator="notContains" text="YES">
      <formula>ISERROR(SEARCH("YES",E17))</formula>
    </cfRule>
  </conditionalFormatting>
  <conditionalFormatting sqref="E43:E53">
    <cfRule type="containsText" dxfId="302" priority="7" operator="containsText" text="No">
      <formula>NOT(ISERROR(SEARCH("No",E43)))</formula>
    </cfRule>
  </conditionalFormatting>
  <conditionalFormatting sqref="E25:F42">
    <cfRule type="containsText" dxfId="301" priority="8" operator="containsText" text="No">
      <formula>NOT(ISERROR(SEARCH("No",E25)))</formula>
    </cfRule>
  </conditionalFormatting>
  <conditionalFormatting sqref="H4:J4">
    <cfRule type="cellIs" dxfId="300" priority="1" operator="equal">
      <formula>"NO PASA"</formula>
    </cfRule>
    <cfRule type="cellIs" dxfId="299" priority="2" operator="equal">
      <formula>"NO PASA"</formula>
    </cfRule>
    <cfRule type="cellIs" dxfId="298" priority="3" operator="equal">
      <formula>"PASA"</formula>
    </cfRule>
    <cfRule type="cellIs" dxfId="297" priority="4" operator="equal">
      <formula>"PASA"</formula>
    </cfRule>
    <cfRule type="cellIs" dxfId="296" priority="5" operator="equal">
      <formula>"NO PASA"</formula>
    </cfRule>
    <cfRule type="containsText" dxfId="295" priority="6" operator="containsText" text="PASA">
      <formula>NOT(ISERROR(SEARCH("PASA",H4)))</formula>
    </cfRule>
    <cfRule type="cellIs" dxfId="294" priority="13" operator="equal">
      <formula>$BC$7</formula>
    </cfRule>
    <cfRule type="cellIs" dxfId="293" priority="14" operator="equal">
      <formula>$BC$6</formula>
    </cfRule>
    <cfRule type="cellIs" dxfId="292" priority="15" operator="equal">
      <formula>$BC$4</formula>
    </cfRule>
  </conditionalFormatting>
  <conditionalFormatting sqref="I14">
    <cfRule type="cellIs" dxfId="291" priority="10" operator="greaterThanOrEqual">
      <formula>0.9</formula>
    </cfRule>
    <cfRule type="cellIs" dxfId="290" priority="11" operator="between">
      <formula>0.71</formula>
      <formula>0.9</formula>
    </cfRule>
    <cfRule type="cellIs" dxfId="289" priority="12" operator="lessThan">
      <formula>0.71</formula>
    </cfRule>
  </conditionalFormatting>
  <dataValidations count="3">
    <dataValidation type="list" allowBlank="1" showInputMessage="1" showErrorMessage="1" sqref="E38:E39 E50:E51" xr:uid="{00000000-0002-0000-2800-000000000000}">
      <formula1>"Yes,No,NA"</formula1>
    </dataValidation>
    <dataValidation type="list" allowBlank="1" showInputMessage="1" showErrorMessage="1" sqref="E52:E53 E25:E37 E40:E49" xr:uid="{00000000-0002-0000-2800-000001000000}">
      <formula1>"Yes,No"</formula1>
    </dataValidation>
    <dataValidation type="list" allowBlank="1" showInputMessage="1" showErrorMessage="1" sqref="E17:E23" xr:uid="{00000000-0002-0000-2800-000002000000}">
      <formula1>"Yes,No,Cured in Moment"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3" tint="0.79998168889431442"/>
  </sheetPr>
  <dimension ref="B1:H103"/>
  <sheetViews>
    <sheetView zoomScale="50" zoomScaleNormal="50" workbookViewId="0">
      <selection activeCell="E1" sqref="E1"/>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74.25" customHeight="1">
      <c r="B7" s="139"/>
      <c r="C7" s="130"/>
      <c r="D7" s="138"/>
      <c r="E7" s="130"/>
      <c r="F7" s="134"/>
    </row>
    <row r="8" spans="2:8" ht="77.25" customHeight="1">
      <c r="B8" s="140"/>
      <c r="C8" s="130"/>
      <c r="D8" s="138"/>
      <c r="E8" s="127"/>
      <c r="F8" s="135"/>
    </row>
    <row r="9" spans="2:8" ht="62.25" customHeight="1">
      <c r="B9" s="141"/>
      <c r="C9" s="130"/>
      <c r="D9" s="138"/>
      <c r="E9" s="127"/>
      <c r="F9" s="136"/>
    </row>
    <row r="10" spans="2:8" ht="57.75" customHeight="1">
      <c r="B10" s="141"/>
      <c r="C10" s="130"/>
      <c r="D10" s="138"/>
      <c r="E10" s="131"/>
      <c r="F10" s="136"/>
    </row>
    <row r="11" spans="2:8" ht="64.5" customHeight="1">
      <c r="B11" s="141"/>
      <c r="C11" s="130"/>
      <c r="D11" s="138"/>
      <c r="E11" s="131"/>
      <c r="F11" s="136"/>
    </row>
    <row r="12" spans="2:8" ht="44.1" customHeight="1">
      <c r="B12" s="141"/>
      <c r="C12" s="131"/>
      <c r="D12" s="131"/>
      <c r="E12" s="131"/>
      <c r="F12" s="136"/>
    </row>
    <row r="13" spans="2:8" s="126" customFormat="1" ht="30.95" customHeight="1">
      <c r="B13" s="141"/>
      <c r="C13" s="131"/>
      <c r="D13" s="131"/>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316</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288" priority="1" stopIfTrue="1">
      <formula>IF($E31="NA",TRUE,FALSE)</formula>
    </cfRule>
  </conditionalFormatting>
  <dataValidations count="3">
    <dataValidation type="list" allowBlank="1" showInputMessage="1" showErrorMessage="1" sqref="E31" xr:uid="{00000000-0002-0000-2900-000000000000}">
      <formula1>"Yes,No,NA"</formula1>
    </dataValidation>
    <dataValidation type="list" allowBlank="1" showInputMessage="1" showErrorMessage="1" sqref="E17" xr:uid="{00000000-0002-0000-2900-000001000000}">
      <formula1>"Yes,No"</formula1>
    </dataValidation>
    <dataValidation type="list" allowBlank="1" showInputMessage="1" showErrorMessage="1" sqref="E5:E6 E20:E21 E34:E35" xr:uid="{00000000-0002-0000-2900-000002000000}">
      <formula1>"Yes,No,Cured in Moment"</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7" tint="-0.249977111117893"/>
  </sheetPr>
  <dimension ref="B1:BF56"/>
  <sheetViews>
    <sheetView topLeftCell="A28" zoomScale="60" zoomScaleNormal="60" workbookViewId="0">
      <selection activeCell="G34" sqref="G34:K34"/>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0.71093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60.75" customHeight="1" thickBot="1">
      <c r="B3" s="210" t="s">
        <v>208</v>
      </c>
      <c r="C3" s="439" t="s">
        <v>320</v>
      </c>
      <c r="D3" s="440"/>
      <c r="E3" s="161"/>
      <c r="G3" s="220"/>
      <c r="H3" s="220"/>
      <c r="I3" s="220"/>
      <c r="J3" s="220"/>
    </row>
    <row r="4" spans="2:55" ht="74.25" customHeight="1" thickBot="1">
      <c r="B4" s="211" t="s">
        <v>275</v>
      </c>
      <c r="C4" s="441" t="s">
        <v>352</v>
      </c>
      <c r="D4" s="442"/>
      <c r="E4" s="150"/>
      <c r="G4" s="186" t="s">
        <v>11</v>
      </c>
      <c r="H4" s="443" t="str">
        <f>IF(COUNTIF(BB6,"0")&gt;0,"PASA","NO PASA")</f>
        <v>PASA</v>
      </c>
      <c r="I4" s="444"/>
      <c r="J4" s="445"/>
      <c r="BA4" s="221" t="s">
        <v>174</v>
      </c>
      <c r="BB4" s="123">
        <f>COUNTIF(E17:F23,BA4)</f>
        <v>0</v>
      </c>
      <c r="BC4" s="225" t="s">
        <v>262</v>
      </c>
    </row>
    <row r="5" spans="2:55" ht="55.5" customHeight="1" thickBot="1">
      <c r="B5" s="236" t="s">
        <v>203</v>
      </c>
      <c r="C5" s="446">
        <v>46276</v>
      </c>
      <c r="D5" s="447"/>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48" t="s">
        <v>243</v>
      </c>
      <c r="C7" s="451" t="s">
        <v>252</v>
      </c>
      <c r="D7" s="452"/>
      <c r="E7" s="164"/>
      <c r="G7" s="168" t="s">
        <v>199</v>
      </c>
      <c r="H7" s="169">
        <v>18</v>
      </c>
      <c r="I7" s="169">
        <f>SUM(F32:F35)</f>
        <v>18</v>
      </c>
      <c r="J7" s="170">
        <f t="shared" si="0"/>
        <v>1</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5</v>
      </c>
      <c r="J11" s="170">
        <f t="shared" ref="J11:J12" si="1">I11/H11</f>
        <v>1</v>
      </c>
    </row>
    <row r="12" spans="2:55" ht="72.75" customHeight="1" thickBot="1">
      <c r="B12" s="219" t="s">
        <v>244</v>
      </c>
      <c r="C12" s="459" t="s">
        <v>246</v>
      </c>
      <c r="D12" s="460"/>
      <c r="E12" s="166"/>
      <c r="G12" s="198" t="s">
        <v>271</v>
      </c>
      <c r="H12" s="199">
        <f>SUM(H6:H11)</f>
        <v>117</v>
      </c>
      <c r="I12" s="199">
        <f>SUM(I6:I11)</f>
        <v>117</v>
      </c>
      <c r="J12" s="200">
        <f t="shared" si="1"/>
        <v>1</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1</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553" t="s">
        <v>283</v>
      </c>
      <c r="H17" s="554"/>
      <c r="I17" s="554"/>
      <c r="J17" s="554"/>
      <c r="K17" s="555"/>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G20" s="475"/>
      <c r="H20" s="476"/>
      <c r="I20" s="476"/>
      <c r="J20" s="476"/>
      <c r="K20" s="477"/>
      <c r="V20" s="122"/>
      <c r="AY20" s="172" t="str">
        <f t="shared" si="2"/>
        <v>Yes</v>
      </c>
      <c r="BA20" s="222"/>
      <c r="BB20" s="122"/>
      <c r="BC20" s="122"/>
    </row>
    <row r="21" spans="2:58" s="172" customFormat="1" ht="45.95" customHeight="1">
      <c r="B21" s="449"/>
      <c r="C21" s="214">
        <v>5</v>
      </c>
      <c r="D21" s="215" t="s">
        <v>213</v>
      </c>
      <c r="E21" s="478" t="s">
        <v>266</v>
      </c>
      <c r="F21" s="479"/>
      <c r="G21" s="480"/>
      <c r="H21" s="481"/>
      <c r="I21" s="481"/>
      <c r="J21" s="481"/>
      <c r="K21" s="482"/>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556"/>
      <c r="H25" s="557"/>
      <c r="I25" s="557"/>
      <c r="J25" s="557"/>
      <c r="K25" s="558"/>
    </row>
    <row r="26" spans="2:58" ht="75.75" customHeight="1">
      <c r="B26" s="449"/>
      <c r="C26" s="127">
        <v>2</v>
      </c>
      <c r="D26" s="192" t="s">
        <v>219</v>
      </c>
      <c r="E26" s="140" t="s">
        <v>266</v>
      </c>
      <c r="F26" s="135">
        <f>IF(E26="Yes",5,0)</f>
        <v>5</v>
      </c>
      <c r="G26" s="500"/>
      <c r="H26" s="501"/>
      <c r="I26" s="501"/>
      <c r="J26" s="501"/>
      <c r="K26" s="502"/>
    </row>
    <row r="27" spans="2:58" ht="45.95" customHeight="1">
      <c r="B27" s="449"/>
      <c r="C27" s="143">
        <v>3</v>
      </c>
      <c r="D27" s="193" t="s">
        <v>216</v>
      </c>
      <c r="E27" s="177" t="s">
        <v>266</v>
      </c>
      <c r="F27" s="178">
        <f>IF(E27="Yes",5,0)</f>
        <v>5</v>
      </c>
      <c r="G27" s="503"/>
      <c r="H27" s="504"/>
      <c r="I27" s="504"/>
      <c r="J27" s="504"/>
      <c r="K27" s="505"/>
    </row>
    <row r="28" spans="2:58" ht="51.75" customHeight="1">
      <c r="B28" s="449"/>
      <c r="C28" s="127">
        <v>4</v>
      </c>
      <c r="D28" s="192" t="s">
        <v>217</v>
      </c>
      <c r="E28" s="140" t="s">
        <v>266</v>
      </c>
      <c r="F28" s="135">
        <f t="shared" ref="F28:F32" si="3">IF(E28="Yes",1,0)</f>
        <v>1</v>
      </c>
      <c r="G28" s="500"/>
      <c r="H28" s="501"/>
      <c r="I28" s="501"/>
      <c r="J28" s="501"/>
      <c r="K28" s="502"/>
    </row>
    <row r="29" spans="2:58" ht="50.25" customHeight="1" thickBot="1">
      <c r="B29" s="449"/>
      <c r="C29" s="151">
        <v>5</v>
      </c>
      <c r="D29" s="193" t="s">
        <v>218</v>
      </c>
      <c r="E29" s="177" t="s">
        <v>266</v>
      </c>
      <c r="F29" s="178">
        <f t="shared" si="3"/>
        <v>1</v>
      </c>
      <c r="G29" s="545"/>
      <c r="H29" s="546"/>
      <c r="I29" s="546"/>
      <c r="J29" s="546"/>
      <c r="K29" s="562"/>
    </row>
    <row r="30" spans="2:58" ht="47.25" customHeight="1">
      <c r="B30" s="449"/>
      <c r="C30" s="131">
        <v>6</v>
      </c>
      <c r="D30" s="192" t="s">
        <v>220</v>
      </c>
      <c r="E30" s="140" t="s">
        <v>266</v>
      </c>
      <c r="F30" s="135">
        <f>IF(E30="Yes",7,0)</f>
        <v>7</v>
      </c>
      <c r="G30" s="559"/>
      <c r="H30" s="560"/>
      <c r="I30" s="560"/>
      <c r="J30" s="560"/>
      <c r="K30" s="561"/>
    </row>
    <row r="31" spans="2:58" ht="48.75" customHeight="1" thickBot="1">
      <c r="B31" s="450"/>
      <c r="C31" s="158">
        <v>7</v>
      </c>
      <c r="D31" s="194" t="s">
        <v>221</v>
      </c>
      <c r="E31" s="179" t="s">
        <v>266</v>
      </c>
      <c r="F31" s="180">
        <f>IF(E31="Yes",7,0)</f>
        <v>7</v>
      </c>
      <c r="G31" s="545"/>
      <c r="H31" s="546"/>
      <c r="I31" s="546"/>
      <c r="J31" s="546"/>
      <c r="K31" s="562"/>
    </row>
    <row r="32" spans="2:58" ht="48.75" customHeight="1">
      <c r="B32" s="448" t="s">
        <v>257</v>
      </c>
      <c r="C32" s="227">
        <v>1</v>
      </c>
      <c r="D32" s="206" t="s">
        <v>222</v>
      </c>
      <c r="E32" s="181" t="s">
        <v>266</v>
      </c>
      <c r="F32" s="182">
        <f t="shared" si="3"/>
        <v>1</v>
      </c>
      <c r="G32" s="512"/>
      <c r="H32" s="513"/>
      <c r="I32" s="513"/>
      <c r="J32" s="513"/>
      <c r="K32" s="514"/>
    </row>
    <row r="33" spans="2:11" ht="53.25" customHeight="1">
      <c r="B33" s="449"/>
      <c r="C33" s="143">
        <v>2</v>
      </c>
      <c r="D33" s="203" t="s">
        <v>223</v>
      </c>
      <c r="E33" s="177" t="s">
        <v>266</v>
      </c>
      <c r="F33" s="178">
        <f>IF(E33="Yes",5,0)</f>
        <v>5</v>
      </c>
      <c r="G33" s="503"/>
      <c r="H33" s="504"/>
      <c r="I33" s="504"/>
      <c r="J33" s="504"/>
      <c r="K33" s="505"/>
    </row>
    <row r="34" spans="2:11" ht="45.75" customHeight="1">
      <c r="B34" s="449"/>
      <c r="C34" s="131">
        <v>3</v>
      </c>
      <c r="D34" s="202" t="s">
        <v>224</v>
      </c>
      <c r="E34" s="140" t="s">
        <v>266</v>
      </c>
      <c r="F34" s="135">
        <f>IF(E34="Yes",5,0)</f>
        <v>5</v>
      </c>
      <c r="G34" s="500"/>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509"/>
      <c r="H37" s="510"/>
      <c r="I37" s="510"/>
      <c r="J37" s="510"/>
      <c r="K37" s="511"/>
    </row>
    <row r="38" spans="2:11" ht="50.25"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266</v>
      </c>
      <c r="F39" s="178">
        <f>IF(OR(E39="Yes",E39="NA"),7,0)</f>
        <v>7</v>
      </c>
      <c r="G39" s="509"/>
      <c r="H39" s="510"/>
      <c r="I39" s="510"/>
      <c r="J39" s="510"/>
      <c r="K39" s="511"/>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518"/>
      <c r="H41" s="519"/>
      <c r="I41" s="519"/>
      <c r="J41" s="519"/>
      <c r="K41" s="520"/>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266</v>
      </c>
      <c r="F44" s="135">
        <f>IF(E44="Yes",1,0)</f>
        <v>1</v>
      </c>
      <c r="G44" s="500"/>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315</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266</v>
      </c>
      <c r="F53" s="190">
        <f>IF(E53="Yes",1,0)</f>
        <v>1</v>
      </c>
      <c r="G53" s="503"/>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9">
    <mergeCell ref="G39:K39"/>
    <mergeCell ref="G20:K20"/>
    <mergeCell ref="B46:B48"/>
    <mergeCell ref="G46:K46"/>
    <mergeCell ref="G47:K47"/>
    <mergeCell ref="G48:K48"/>
    <mergeCell ref="B41:B45"/>
    <mergeCell ref="G42:K42"/>
    <mergeCell ref="G43:K43"/>
    <mergeCell ref="B32:B35"/>
    <mergeCell ref="G32:K32"/>
    <mergeCell ref="G33:K33"/>
    <mergeCell ref="G34:K34"/>
    <mergeCell ref="G35:K35"/>
    <mergeCell ref="G44:K44"/>
    <mergeCell ref="G45:K45"/>
    <mergeCell ref="G41:K41"/>
    <mergeCell ref="B49:B53"/>
    <mergeCell ref="G49:K49"/>
    <mergeCell ref="G50:K50"/>
    <mergeCell ref="G51:K51"/>
    <mergeCell ref="G52:K52"/>
    <mergeCell ref="G53:K53"/>
    <mergeCell ref="G23:K23"/>
    <mergeCell ref="B36:B40"/>
    <mergeCell ref="G36:K36"/>
    <mergeCell ref="G38:K38"/>
    <mergeCell ref="G40:K40"/>
    <mergeCell ref="B24:D24"/>
    <mergeCell ref="G24:K24"/>
    <mergeCell ref="B25:B31"/>
    <mergeCell ref="G25:K25"/>
    <mergeCell ref="G26:K26"/>
    <mergeCell ref="G27:K27"/>
    <mergeCell ref="G28:K28"/>
    <mergeCell ref="G30:K30"/>
    <mergeCell ref="G31:K31"/>
    <mergeCell ref="G37:K37"/>
    <mergeCell ref="G29:K29"/>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287" priority="9" operator="notContains" text="YES">
      <formula>ISERROR(SEARCH("YES",E17))</formula>
    </cfRule>
  </conditionalFormatting>
  <conditionalFormatting sqref="E43:E53">
    <cfRule type="containsText" dxfId="286" priority="7" operator="containsText" text="No">
      <formula>NOT(ISERROR(SEARCH("No",E43)))</formula>
    </cfRule>
  </conditionalFormatting>
  <conditionalFormatting sqref="E25:F42">
    <cfRule type="containsText" dxfId="285" priority="8" operator="containsText" text="No">
      <formula>NOT(ISERROR(SEARCH("No",E25)))</formula>
    </cfRule>
  </conditionalFormatting>
  <conditionalFormatting sqref="H4:J4">
    <cfRule type="cellIs" dxfId="284" priority="1" operator="equal">
      <formula>"NO PASA"</formula>
    </cfRule>
    <cfRule type="cellIs" dxfId="283" priority="2" operator="equal">
      <formula>"NO PASA"</formula>
    </cfRule>
    <cfRule type="cellIs" dxfId="282" priority="3" operator="equal">
      <formula>"PASA"</formula>
    </cfRule>
    <cfRule type="cellIs" dxfId="281" priority="4" operator="equal">
      <formula>"PASA"</formula>
    </cfRule>
    <cfRule type="cellIs" dxfId="280" priority="5" operator="equal">
      <formula>"NO PASA"</formula>
    </cfRule>
    <cfRule type="containsText" dxfId="279" priority="6" operator="containsText" text="PASA">
      <formula>NOT(ISERROR(SEARCH("PASA",H4)))</formula>
    </cfRule>
    <cfRule type="cellIs" dxfId="278" priority="13" operator="equal">
      <formula>$BC$7</formula>
    </cfRule>
    <cfRule type="cellIs" dxfId="277" priority="14" operator="equal">
      <formula>$BC$6</formula>
    </cfRule>
    <cfRule type="cellIs" dxfId="276" priority="15" operator="equal">
      <formula>$BC$4</formula>
    </cfRule>
  </conditionalFormatting>
  <conditionalFormatting sqref="I14">
    <cfRule type="cellIs" dxfId="275" priority="10" operator="greaterThanOrEqual">
      <formula>0.9</formula>
    </cfRule>
    <cfRule type="cellIs" dxfId="274" priority="11" operator="between">
      <formula>0.71</formula>
      <formula>0.9</formula>
    </cfRule>
    <cfRule type="cellIs" dxfId="273" priority="12" operator="lessThan">
      <formula>0.71</formula>
    </cfRule>
  </conditionalFormatting>
  <dataValidations count="3">
    <dataValidation type="list" allowBlank="1" showInputMessage="1" showErrorMessage="1" sqref="E17:E23" xr:uid="{00000000-0002-0000-0600-000000000000}">
      <formula1>"Yes,No,Cured in Moment"</formula1>
    </dataValidation>
    <dataValidation type="list" allowBlank="1" showInputMessage="1" showErrorMessage="1" sqref="E52:E53 E25:E37 E40:E49" xr:uid="{00000000-0002-0000-0600-000001000000}">
      <formula1>"Yes,No"</formula1>
    </dataValidation>
    <dataValidation type="list" allowBlank="1" showInputMessage="1" showErrorMessage="1" sqref="E38:E39 E50:E51" xr:uid="{00000000-0002-0000-0600-000002000000}">
      <formula1>"Yes,No,NA"</formula1>
    </dataValidation>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7" tint="-0.249977111117893"/>
  </sheetPr>
  <dimension ref="B1:H103"/>
  <sheetViews>
    <sheetView topLeftCell="A2" zoomScale="50" zoomScaleNormal="50" workbookViewId="0">
      <selection activeCell="D10" sqref="D10"/>
    </sheetView>
  </sheetViews>
  <sheetFormatPr baseColWidth="10" defaultColWidth="8.85546875" defaultRowHeight="18"/>
  <cols>
    <col min="1" max="1" width="4.42578125" style="124" customWidth="1"/>
    <col min="2" max="2" width="48.710937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63.75" customHeight="1">
      <c r="B7" s="295" t="s">
        <v>396</v>
      </c>
      <c r="C7" s="130" t="s">
        <v>378</v>
      </c>
      <c r="D7" s="284" t="s">
        <v>387</v>
      </c>
      <c r="E7" s="130"/>
      <c r="F7" s="134"/>
    </row>
    <row r="8" spans="2:8" ht="91.5" customHeight="1">
      <c r="B8" s="297" t="s">
        <v>397</v>
      </c>
      <c r="C8" s="130" t="s">
        <v>378</v>
      </c>
      <c r="D8" s="284">
        <v>46295</v>
      </c>
      <c r="E8" s="131"/>
      <c r="F8" s="135"/>
    </row>
    <row r="9" spans="2:8" ht="74.25" customHeight="1">
      <c r="B9" s="297" t="s">
        <v>398</v>
      </c>
      <c r="C9" s="130" t="s">
        <v>378</v>
      </c>
      <c r="D9" s="284">
        <v>46295</v>
      </c>
      <c r="E9" s="127"/>
      <c r="F9" s="136"/>
    </row>
    <row r="10" spans="2:8" ht="61.5" customHeight="1">
      <c r="B10" s="297"/>
      <c r="C10" s="130"/>
      <c r="D10" s="284"/>
      <c r="E10" s="131"/>
      <c r="F10" s="136"/>
    </row>
    <row r="11" spans="2:8" ht="62.25" customHeight="1">
      <c r="B11" s="297"/>
      <c r="C11" s="130"/>
      <c r="D11" s="284"/>
      <c r="E11" s="131"/>
      <c r="F11" s="136"/>
    </row>
    <row r="12" spans="2:8">
      <c r="B12" s="295"/>
      <c r="C12" s="131"/>
      <c r="D12" s="307"/>
      <c r="E12" s="131"/>
      <c r="F12" s="136"/>
    </row>
    <row r="13" spans="2:8" s="126" customFormat="1" ht="30.95" customHeight="1">
      <c r="B13" s="297"/>
      <c r="C13" s="297"/>
      <c r="D13" s="307"/>
      <c r="E13" s="131"/>
      <c r="F13" s="136"/>
    </row>
    <row r="14" spans="2:8" ht="39.950000000000003" customHeight="1">
      <c r="B14" s="297"/>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268</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272" priority="1" stopIfTrue="1">
      <formula>IF($E31="NA",TRUE,FALSE)</formula>
    </cfRule>
  </conditionalFormatting>
  <dataValidations count="3">
    <dataValidation type="list" allowBlank="1" showInputMessage="1" showErrorMessage="1" sqref="E31" xr:uid="{00000000-0002-0000-0700-000000000000}">
      <formula1>"Yes,No,NA"</formula1>
    </dataValidation>
    <dataValidation type="list" allowBlank="1" showInputMessage="1" showErrorMessage="1" sqref="E17" xr:uid="{00000000-0002-0000-0700-000001000000}">
      <formula1>"Yes,No"</formula1>
    </dataValidation>
    <dataValidation type="list" allowBlank="1" showInputMessage="1" showErrorMessage="1" sqref="E5:E6 E20:E21 E34:E35" xr:uid="{00000000-0002-0000-0700-000002000000}">
      <formula1>"Yes,No,Cured in Moment"</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3" tint="0.79998168889431442"/>
  </sheetPr>
  <dimension ref="B1:BF56"/>
  <sheetViews>
    <sheetView topLeftCell="A11" zoomScale="60" zoomScaleNormal="60" workbookViewId="0">
      <selection activeCell="G11" sqref="G11"/>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60.75" customHeight="1" thickBot="1">
      <c r="B3" s="210" t="s">
        <v>208</v>
      </c>
      <c r="C3" s="547" t="s">
        <v>359</v>
      </c>
      <c r="D3" s="548"/>
      <c r="E3" s="161"/>
      <c r="G3" s="220"/>
      <c r="H3" s="220"/>
      <c r="I3" s="220"/>
      <c r="J3" s="220"/>
    </row>
    <row r="4" spans="2:55" ht="114" customHeight="1" thickBot="1">
      <c r="B4" s="211" t="s">
        <v>275</v>
      </c>
      <c r="C4" s="549" t="s">
        <v>358</v>
      </c>
      <c r="D4" s="550"/>
      <c r="E4" s="150"/>
      <c r="G4" s="186" t="s">
        <v>11</v>
      </c>
      <c r="H4" s="443" t="str">
        <f>IF(COUNTIF(BB6,"0")&gt;0,"PASA","NO PASA")</f>
        <v>PASA</v>
      </c>
      <c r="I4" s="444"/>
      <c r="J4" s="445"/>
      <c r="BA4" s="221" t="s">
        <v>174</v>
      </c>
      <c r="BB4" s="123">
        <f>COUNTIF(E17:F23,BA4)</f>
        <v>0</v>
      </c>
      <c r="BC4" s="225" t="s">
        <v>262</v>
      </c>
    </row>
    <row r="5" spans="2:55" ht="55.5" customHeight="1" thickBot="1">
      <c r="B5" s="236" t="s">
        <v>203</v>
      </c>
      <c r="C5" s="551">
        <v>46276</v>
      </c>
      <c r="D5" s="552"/>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48" t="s">
        <v>243</v>
      </c>
      <c r="C7" s="451" t="s">
        <v>252</v>
      </c>
      <c r="D7" s="452"/>
      <c r="E7" s="164"/>
      <c r="G7" s="168" t="s">
        <v>199</v>
      </c>
      <c r="H7" s="169">
        <v>18</v>
      </c>
      <c r="I7" s="169">
        <f>SUM(F32:F35)</f>
        <v>18</v>
      </c>
      <c r="J7" s="170">
        <f t="shared" si="0"/>
        <v>1</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5</v>
      </c>
      <c r="J11" s="170">
        <f t="shared" ref="J11:J12" si="1">I11/H11</f>
        <v>1</v>
      </c>
    </row>
    <row r="12" spans="2:55" ht="72.75" customHeight="1" thickBot="1">
      <c r="B12" s="219" t="s">
        <v>244</v>
      </c>
      <c r="C12" s="459" t="s">
        <v>246</v>
      </c>
      <c r="D12" s="460"/>
      <c r="E12" s="166"/>
      <c r="G12" s="198" t="s">
        <v>271</v>
      </c>
      <c r="H12" s="199">
        <f>SUM(H6:H11)</f>
        <v>117</v>
      </c>
      <c r="I12" s="199">
        <f>SUM(I6:I11)</f>
        <v>117</v>
      </c>
      <c r="J12" s="200">
        <f t="shared" si="1"/>
        <v>1</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1</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G20" s="563"/>
      <c r="H20" s="564"/>
      <c r="I20" s="564"/>
      <c r="J20" s="564"/>
      <c r="K20" s="565"/>
      <c r="V20" s="122"/>
      <c r="AY20" s="172" t="str">
        <f t="shared" si="2"/>
        <v>Yes</v>
      </c>
      <c r="BA20" s="222"/>
      <c r="BB20" s="122"/>
      <c r="BC20" s="122"/>
    </row>
    <row r="21" spans="2:58" s="172" customFormat="1" ht="45.95" customHeight="1">
      <c r="B21" s="449"/>
      <c r="C21" s="214">
        <v>5</v>
      </c>
      <c r="D21" s="215" t="s">
        <v>213</v>
      </c>
      <c r="E21" s="478" t="s">
        <v>266</v>
      </c>
      <c r="F21" s="479"/>
      <c r="G21" s="475"/>
      <c r="H21" s="476"/>
      <c r="I21" s="476"/>
      <c r="J21" s="476"/>
      <c r="K21" s="477"/>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524"/>
      <c r="H25" s="525"/>
      <c r="I25" s="525"/>
      <c r="J25" s="525"/>
      <c r="K25" s="526"/>
    </row>
    <row r="26" spans="2:58" ht="45.95" customHeight="1">
      <c r="B26" s="449"/>
      <c r="C26" s="127">
        <v>2</v>
      </c>
      <c r="D26" s="192" t="s">
        <v>219</v>
      </c>
      <c r="E26" s="140" t="s">
        <v>266</v>
      </c>
      <c r="F26" s="135">
        <f>IF(E26="Yes",5,0)</f>
        <v>5</v>
      </c>
      <c r="G26" s="500"/>
      <c r="H26" s="501"/>
      <c r="I26" s="501"/>
      <c r="J26" s="501"/>
      <c r="K26" s="502"/>
    </row>
    <row r="27" spans="2:58" ht="45.95" customHeight="1">
      <c r="B27" s="449"/>
      <c r="C27" s="143">
        <v>3</v>
      </c>
      <c r="D27" s="193" t="s">
        <v>216</v>
      </c>
      <c r="E27" s="177" t="s">
        <v>266</v>
      </c>
      <c r="F27" s="178">
        <f>IF(E27="Yes",5,0)</f>
        <v>5</v>
      </c>
      <c r="G27" s="503"/>
      <c r="H27" s="504"/>
      <c r="I27" s="504"/>
      <c r="J27" s="504"/>
      <c r="K27" s="505"/>
    </row>
    <row r="28" spans="2:58" ht="51.75" customHeight="1">
      <c r="B28" s="449"/>
      <c r="C28" s="127">
        <v>4</v>
      </c>
      <c r="D28" s="192" t="s">
        <v>217</v>
      </c>
      <c r="E28" s="140" t="s">
        <v>266</v>
      </c>
      <c r="F28" s="135">
        <f t="shared" ref="F28:F32" si="3">IF(E28="Yes",1,0)</f>
        <v>1</v>
      </c>
      <c r="G28" s="500"/>
      <c r="H28" s="501"/>
      <c r="I28" s="501"/>
      <c r="J28" s="501"/>
      <c r="K28" s="502"/>
    </row>
    <row r="29" spans="2:58" ht="50.25" customHeight="1">
      <c r="B29" s="449"/>
      <c r="C29" s="151">
        <v>5</v>
      </c>
      <c r="D29" s="193" t="s">
        <v>218</v>
      </c>
      <c r="E29" s="177" t="s">
        <v>266</v>
      </c>
      <c r="F29" s="178">
        <f t="shared" si="3"/>
        <v>1</v>
      </c>
      <c r="G29" s="509"/>
      <c r="H29" s="510"/>
      <c r="I29" s="510"/>
      <c r="J29" s="510"/>
      <c r="K29" s="511"/>
    </row>
    <row r="30" spans="2:58" ht="47.25" customHeight="1">
      <c r="B30" s="449"/>
      <c r="C30" s="131">
        <v>6</v>
      </c>
      <c r="D30" s="192" t="s">
        <v>220</v>
      </c>
      <c r="E30" s="140" t="s">
        <v>266</v>
      </c>
      <c r="F30" s="135">
        <f>IF(E30="Yes",7,0)</f>
        <v>7</v>
      </c>
      <c r="G30" s="563"/>
      <c r="H30" s="564"/>
      <c r="I30" s="564"/>
      <c r="J30" s="564"/>
      <c r="K30" s="565"/>
    </row>
    <row r="31" spans="2:58" ht="48.75" customHeight="1" thickBot="1">
      <c r="B31" s="450"/>
      <c r="C31" s="158">
        <v>7</v>
      </c>
      <c r="D31" s="194" t="s">
        <v>221</v>
      </c>
      <c r="E31" s="179" t="s">
        <v>266</v>
      </c>
      <c r="F31" s="180">
        <f>IF(E31="Yes",7,0)</f>
        <v>7</v>
      </c>
      <c r="G31" s="155"/>
      <c r="H31" s="156"/>
      <c r="I31" s="156"/>
      <c r="J31" s="156"/>
      <c r="K31" s="157"/>
    </row>
    <row r="32" spans="2:58" ht="48.75" customHeight="1">
      <c r="B32" s="448" t="s">
        <v>257</v>
      </c>
      <c r="C32" s="227">
        <v>1</v>
      </c>
      <c r="D32" s="206" t="s">
        <v>222</v>
      </c>
      <c r="E32" s="181" t="s">
        <v>266</v>
      </c>
      <c r="F32" s="182">
        <f t="shared" si="3"/>
        <v>1</v>
      </c>
      <c r="G32" s="512"/>
      <c r="H32" s="513"/>
      <c r="I32" s="513"/>
      <c r="J32" s="513"/>
      <c r="K32" s="514"/>
    </row>
    <row r="33" spans="2:11" ht="45.95" customHeight="1">
      <c r="B33" s="449"/>
      <c r="C33" s="143">
        <v>2</v>
      </c>
      <c r="D33" s="203" t="s">
        <v>223</v>
      </c>
      <c r="E33" s="177" t="s">
        <v>266</v>
      </c>
      <c r="F33" s="178">
        <f>IF(E33="Yes",5,0)</f>
        <v>5</v>
      </c>
      <c r="G33" s="503"/>
      <c r="H33" s="504"/>
      <c r="I33" s="504"/>
      <c r="J33" s="504"/>
      <c r="K33" s="505"/>
    </row>
    <row r="34" spans="2:11" ht="45.95" customHeight="1">
      <c r="B34" s="449"/>
      <c r="C34" s="131">
        <v>3</v>
      </c>
      <c r="D34" s="202" t="s">
        <v>224</v>
      </c>
      <c r="E34" s="140" t="s">
        <v>266</v>
      </c>
      <c r="F34" s="135">
        <f>IF(E34="Yes",5,0)</f>
        <v>5</v>
      </c>
      <c r="G34" s="500"/>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195"/>
      <c r="H37" s="196"/>
      <c r="I37" s="196"/>
      <c r="J37" s="196"/>
      <c r="K37" s="197"/>
    </row>
    <row r="38" spans="2:11" ht="50.25"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315</v>
      </c>
      <c r="F39" s="178">
        <f>IF(OR(E39="Yes",E39="NA"),7,0)</f>
        <v>7</v>
      </c>
      <c r="G39" s="195"/>
      <c r="H39" s="196"/>
      <c r="I39" s="196"/>
      <c r="J39" s="196"/>
      <c r="K39" s="197"/>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518"/>
      <c r="H41" s="519"/>
      <c r="I41" s="519"/>
      <c r="J41" s="519"/>
      <c r="K41" s="148"/>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266</v>
      </c>
      <c r="F44" s="135">
        <f>IF(E44="Yes",1,0)</f>
        <v>1</v>
      </c>
      <c r="G44" s="500"/>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266</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266</v>
      </c>
      <c r="F53" s="190">
        <f>IF(E53="Yes",1,0)</f>
        <v>1</v>
      </c>
      <c r="G53" s="503"/>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6">
    <mergeCell ref="G20:K20"/>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29:K29"/>
    <mergeCell ref="G30:K30"/>
    <mergeCell ref="B41:B45"/>
    <mergeCell ref="G42:K42"/>
    <mergeCell ref="G43:K43"/>
    <mergeCell ref="B32:B35"/>
    <mergeCell ref="G32:K32"/>
    <mergeCell ref="G33:K33"/>
    <mergeCell ref="G34:K34"/>
    <mergeCell ref="G35:K35"/>
    <mergeCell ref="G44:K44"/>
    <mergeCell ref="G45:K45"/>
    <mergeCell ref="G41:J41"/>
    <mergeCell ref="B46:B48"/>
    <mergeCell ref="G46:K46"/>
    <mergeCell ref="G47:K47"/>
    <mergeCell ref="G48:K48"/>
    <mergeCell ref="B49:B53"/>
    <mergeCell ref="G49:K49"/>
    <mergeCell ref="G50:K50"/>
    <mergeCell ref="G51:K51"/>
    <mergeCell ref="G52:K52"/>
    <mergeCell ref="G53:K53"/>
  </mergeCells>
  <conditionalFormatting sqref="E17:E23">
    <cfRule type="notContainsText" dxfId="271" priority="9" operator="notContains" text="YES">
      <formula>ISERROR(SEARCH("YES",E17))</formula>
    </cfRule>
  </conditionalFormatting>
  <conditionalFormatting sqref="E43:E53">
    <cfRule type="containsText" dxfId="270" priority="7" operator="containsText" text="No">
      <formula>NOT(ISERROR(SEARCH("No",E43)))</formula>
    </cfRule>
  </conditionalFormatting>
  <conditionalFormatting sqref="E25:F42">
    <cfRule type="containsText" dxfId="269" priority="8" operator="containsText" text="No">
      <formula>NOT(ISERROR(SEARCH("No",E25)))</formula>
    </cfRule>
  </conditionalFormatting>
  <conditionalFormatting sqref="H4:J4">
    <cfRule type="cellIs" dxfId="268" priority="1" operator="equal">
      <formula>"NO PASA"</formula>
    </cfRule>
    <cfRule type="cellIs" dxfId="267" priority="2" operator="equal">
      <formula>"NO PASA"</formula>
    </cfRule>
    <cfRule type="cellIs" dxfId="266" priority="3" operator="equal">
      <formula>"PASA"</formula>
    </cfRule>
    <cfRule type="cellIs" dxfId="265" priority="4" operator="equal">
      <formula>"PASA"</formula>
    </cfRule>
    <cfRule type="cellIs" dxfId="264" priority="5" operator="equal">
      <formula>"NO PASA"</formula>
    </cfRule>
    <cfRule type="containsText" dxfId="263" priority="6" operator="containsText" text="PASA">
      <formula>NOT(ISERROR(SEARCH("PASA",H4)))</formula>
    </cfRule>
    <cfRule type="cellIs" dxfId="262" priority="13" operator="equal">
      <formula>$BC$7</formula>
    </cfRule>
    <cfRule type="cellIs" dxfId="261" priority="14" operator="equal">
      <formula>$BC$6</formula>
    </cfRule>
    <cfRule type="cellIs" dxfId="260" priority="15" operator="equal">
      <formula>$BC$4</formula>
    </cfRule>
  </conditionalFormatting>
  <conditionalFormatting sqref="I14">
    <cfRule type="cellIs" dxfId="259" priority="10" operator="greaterThanOrEqual">
      <formula>0.9</formula>
    </cfRule>
    <cfRule type="cellIs" dxfId="258" priority="11" operator="between">
      <formula>0.71</formula>
      <formula>0.9</formula>
    </cfRule>
    <cfRule type="cellIs" dxfId="257" priority="12" operator="lessThan">
      <formula>0.71</formula>
    </cfRule>
  </conditionalFormatting>
  <dataValidations count="3">
    <dataValidation type="list" allowBlank="1" showInputMessage="1" showErrorMessage="1" sqref="E17:E23" xr:uid="{00000000-0002-0000-2600-000000000000}">
      <formula1>"Yes,No,Cured in Moment"</formula1>
    </dataValidation>
    <dataValidation type="list" allowBlank="1" showInputMessage="1" showErrorMessage="1" sqref="E52:E53 E25:E37 E40:E49" xr:uid="{00000000-0002-0000-2600-000001000000}">
      <formula1>"Yes,No"</formula1>
    </dataValidation>
    <dataValidation type="list" allowBlank="1" showInputMessage="1" showErrorMessage="1" sqref="E38:E39 E50:E51" xr:uid="{00000000-0002-0000-2600-000002000000}">
      <formula1>"Yes,No,NA"</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3" tint="0.79998168889431442"/>
  </sheetPr>
  <dimension ref="B1:H103"/>
  <sheetViews>
    <sheetView topLeftCell="A7" zoomScale="50" zoomScaleNormal="50" workbookViewId="0">
      <selection activeCell="B7" sqref="B7:D10"/>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61.5" customHeight="1">
      <c r="B7" s="296"/>
      <c r="C7" s="309"/>
      <c r="D7" s="284"/>
      <c r="E7" s="130"/>
      <c r="F7" s="134"/>
    </row>
    <row r="8" spans="2:8" ht="111" customHeight="1">
      <c r="B8" s="308"/>
      <c r="C8" s="309"/>
      <c r="D8" s="284"/>
      <c r="E8" s="127"/>
      <c r="F8" s="135"/>
    </row>
    <row r="9" spans="2:8" ht="86.25" customHeight="1">
      <c r="B9" s="296"/>
      <c r="C9" s="309"/>
      <c r="D9" s="284"/>
      <c r="E9" s="127"/>
      <c r="F9" s="136"/>
    </row>
    <row r="10" spans="2:8" ht="78.75" customHeight="1">
      <c r="B10" s="296"/>
      <c r="C10" s="309"/>
      <c r="D10" s="284"/>
      <c r="E10" s="131"/>
      <c r="F10" s="136"/>
    </row>
    <row r="11" spans="2:8" ht="62.25" customHeight="1">
      <c r="B11" s="296"/>
      <c r="C11" s="309"/>
      <c r="D11" s="284"/>
      <c r="E11" s="131"/>
      <c r="F11" s="136"/>
    </row>
    <row r="12" spans="2:8" ht="44.1" customHeight="1">
      <c r="B12" s="141"/>
      <c r="C12" s="309"/>
      <c r="D12" s="309"/>
      <c r="E12" s="131"/>
      <c r="F12" s="136"/>
    </row>
    <row r="13" spans="2:8" s="126" customFormat="1" ht="30.95" customHeight="1">
      <c r="B13" s="141"/>
      <c r="C13" s="131"/>
      <c r="D13" s="131"/>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316</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256" priority="1" stopIfTrue="1">
      <formula>IF($E31="NA",TRUE,FALSE)</formula>
    </cfRule>
  </conditionalFormatting>
  <dataValidations count="3">
    <dataValidation type="list" allowBlank="1" showInputMessage="1" showErrorMessage="1" sqref="E5:E6 E20:E21 E34:E35" xr:uid="{00000000-0002-0000-2700-000000000000}">
      <formula1>"Yes,No,Cured in Moment"</formula1>
    </dataValidation>
    <dataValidation type="list" allowBlank="1" showInputMessage="1" showErrorMessage="1" sqref="E17" xr:uid="{00000000-0002-0000-2700-000001000000}">
      <formula1>"Yes,No"</formula1>
    </dataValidation>
    <dataValidation type="list" allowBlank="1" showInputMessage="1" showErrorMessage="1" sqref="E31" xr:uid="{00000000-0002-0000-2700-000002000000}">
      <formula1>"Yes,No,NA"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7" tint="0.39997558519241921"/>
  </sheetPr>
  <dimension ref="B1:BF56"/>
  <sheetViews>
    <sheetView topLeftCell="A24" zoomScale="60" zoomScaleNormal="60" workbookViewId="0">
      <selection activeCell="G24" sqref="G24:K24"/>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1406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51" customHeight="1" thickBot="1">
      <c r="B3" s="210" t="s">
        <v>208</v>
      </c>
      <c r="C3" s="439" t="s">
        <v>361</v>
      </c>
      <c r="D3" s="440"/>
      <c r="E3" s="161"/>
      <c r="G3" s="220"/>
      <c r="H3" s="220"/>
      <c r="I3" s="220"/>
      <c r="J3" s="220"/>
    </row>
    <row r="4" spans="2:55" ht="80.25" customHeight="1" thickBot="1">
      <c r="B4" s="211" t="s">
        <v>275</v>
      </c>
      <c r="C4" s="441" t="s">
        <v>353</v>
      </c>
      <c r="D4" s="442"/>
      <c r="E4" s="150"/>
      <c r="G4" s="186" t="s">
        <v>11</v>
      </c>
      <c r="H4" s="443" t="str">
        <f>IF(COUNTIF(BB6,"0")&gt;0,"PASA","NO PASA")</f>
        <v>PASA</v>
      </c>
      <c r="I4" s="444"/>
      <c r="J4" s="445"/>
      <c r="BA4" s="221" t="s">
        <v>174</v>
      </c>
      <c r="BB4" s="123">
        <f>COUNTIF(E17:F23,BA4)</f>
        <v>0</v>
      </c>
      <c r="BC4" s="225" t="s">
        <v>262</v>
      </c>
    </row>
    <row r="5" spans="2:55" ht="45.75" customHeight="1" thickBot="1">
      <c r="B5" s="236" t="s">
        <v>203</v>
      </c>
      <c r="C5" s="446">
        <v>46277</v>
      </c>
      <c r="D5" s="447"/>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48" t="s">
        <v>243</v>
      </c>
      <c r="C7" s="451" t="s">
        <v>252</v>
      </c>
      <c r="D7" s="452"/>
      <c r="E7" s="164"/>
      <c r="G7" s="168" t="s">
        <v>199</v>
      </c>
      <c r="H7" s="169">
        <v>18</v>
      </c>
      <c r="I7" s="169">
        <f>SUM(F32:F35)</f>
        <v>18</v>
      </c>
      <c r="J7" s="170">
        <f t="shared" si="0"/>
        <v>1</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5</v>
      </c>
      <c r="J11" s="170">
        <f t="shared" ref="J11:J12" si="1">I11/H11</f>
        <v>1</v>
      </c>
    </row>
    <row r="12" spans="2:55" ht="72.75" customHeight="1" thickBot="1">
      <c r="B12" s="219" t="s">
        <v>244</v>
      </c>
      <c r="C12" s="459" t="s">
        <v>246</v>
      </c>
      <c r="D12" s="460"/>
      <c r="E12" s="166"/>
      <c r="G12" s="198" t="s">
        <v>271</v>
      </c>
      <c r="H12" s="199">
        <f>SUM(H6:H11)</f>
        <v>117</v>
      </c>
      <c r="I12" s="199">
        <f>SUM(I6:I11)</f>
        <v>117</v>
      </c>
      <c r="J12" s="200">
        <f t="shared" si="1"/>
        <v>1</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1</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K20" s="173"/>
      <c r="V20" s="122"/>
      <c r="AY20" s="172" t="str">
        <f t="shared" si="2"/>
        <v>Yes</v>
      </c>
      <c r="BA20" s="222"/>
      <c r="BB20" s="122"/>
      <c r="BC20" s="122"/>
    </row>
    <row r="21" spans="2:58" s="172" customFormat="1" ht="45.95" customHeight="1">
      <c r="B21" s="449"/>
      <c r="C21" s="214">
        <v>5</v>
      </c>
      <c r="D21" s="215" t="s">
        <v>213</v>
      </c>
      <c r="E21" s="478" t="s">
        <v>266</v>
      </c>
      <c r="F21" s="479"/>
      <c r="G21" s="475"/>
      <c r="H21" s="476"/>
      <c r="I21" s="476"/>
      <c r="J21" s="476"/>
      <c r="K21" s="477"/>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524"/>
      <c r="H25" s="525"/>
      <c r="I25" s="525"/>
      <c r="J25" s="525"/>
      <c r="K25" s="526"/>
    </row>
    <row r="26" spans="2:58" ht="45.95" customHeight="1">
      <c r="B26" s="449"/>
      <c r="C26" s="127">
        <v>2</v>
      </c>
      <c r="D26" s="192" t="s">
        <v>219</v>
      </c>
      <c r="E26" s="140" t="s">
        <v>266</v>
      </c>
      <c r="F26" s="135">
        <f>IF(E26="Yes",5,0)</f>
        <v>5</v>
      </c>
      <c r="G26" s="566"/>
      <c r="H26" s="567"/>
      <c r="I26" s="567"/>
      <c r="J26" s="567"/>
      <c r="K26" s="568"/>
    </row>
    <row r="27" spans="2:58" ht="45.95" customHeight="1">
      <c r="B27" s="449"/>
      <c r="C27" s="143">
        <v>3</v>
      </c>
      <c r="D27" s="193" t="s">
        <v>216</v>
      </c>
      <c r="E27" s="177" t="s">
        <v>266</v>
      </c>
      <c r="F27" s="178">
        <f>IF(E27="Yes",5,0)</f>
        <v>5</v>
      </c>
      <c r="G27" s="569"/>
      <c r="H27" s="567"/>
      <c r="I27" s="567"/>
      <c r="J27" s="567"/>
      <c r="K27" s="568"/>
    </row>
    <row r="28" spans="2:58" ht="51.75" customHeight="1">
      <c r="B28" s="449"/>
      <c r="C28" s="127">
        <v>4</v>
      </c>
      <c r="D28" s="192" t="s">
        <v>217</v>
      </c>
      <c r="E28" s="140" t="s">
        <v>266</v>
      </c>
      <c r="F28" s="135">
        <f t="shared" ref="F28:F32" si="3">IF(E28="Yes",1,0)</f>
        <v>1</v>
      </c>
      <c r="G28" s="566"/>
      <c r="H28" s="567"/>
      <c r="I28" s="567"/>
      <c r="J28" s="567"/>
      <c r="K28" s="568"/>
    </row>
    <row r="29" spans="2:58" ht="50.25" customHeight="1">
      <c r="B29" s="449"/>
      <c r="C29" s="151">
        <v>5</v>
      </c>
      <c r="D29" s="193" t="s">
        <v>218</v>
      </c>
      <c r="E29" s="177" t="s">
        <v>266</v>
      </c>
      <c r="F29" s="178">
        <f t="shared" si="3"/>
        <v>1</v>
      </c>
      <c r="G29" s="570"/>
      <c r="H29" s="571"/>
      <c r="I29" s="571"/>
      <c r="J29" s="571"/>
      <c r="K29" s="572"/>
    </row>
    <row r="30" spans="2:58" ht="47.25" customHeight="1">
      <c r="B30" s="449"/>
      <c r="C30" s="131">
        <v>6</v>
      </c>
      <c r="D30" s="192" t="s">
        <v>220</v>
      </c>
      <c r="E30" s="140" t="s">
        <v>266</v>
      </c>
      <c r="F30" s="135">
        <f>IF(E30="Yes",7,0)</f>
        <v>7</v>
      </c>
      <c r="G30" s="491"/>
      <c r="H30" s="492"/>
      <c r="I30" s="492"/>
      <c r="J30" s="492"/>
      <c r="K30" s="493"/>
    </row>
    <row r="31" spans="2:58" ht="48.75" customHeight="1" thickBot="1">
      <c r="B31" s="450"/>
      <c r="C31" s="158">
        <v>7</v>
      </c>
      <c r="D31" s="194" t="s">
        <v>221</v>
      </c>
      <c r="E31" s="179" t="s">
        <v>266</v>
      </c>
      <c r="F31" s="180">
        <f>IF(E31="Yes",7,0)</f>
        <v>7</v>
      </c>
      <c r="G31" s="570"/>
      <c r="H31" s="571"/>
      <c r="I31" s="571"/>
      <c r="J31" s="571"/>
      <c r="K31" s="572"/>
    </row>
    <row r="32" spans="2:58" ht="48.75" customHeight="1">
      <c r="B32" s="448" t="s">
        <v>257</v>
      </c>
      <c r="C32" s="227">
        <v>1</v>
      </c>
      <c r="D32" s="206" t="s">
        <v>222</v>
      </c>
      <c r="E32" s="181" t="s">
        <v>266</v>
      </c>
      <c r="F32" s="182">
        <f t="shared" si="3"/>
        <v>1</v>
      </c>
      <c r="G32" s="573"/>
      <c r="H32" s="574"/>
      <c r="I32" s="574"/>
      <c r="J32" s="574"/>
      <c r="K32" s="575"/>
    </row>
    <row r="33" spans="2:11" ht="45.95" customHeight="1">
      <c r="B33" s="449"/>
      <c r="C33" s="143">
        <v>2</v>
      </c>
      <c r="D33" s="203" t="s">
        <v>223</v>
      </c>
      <c r="E33" s="177" t="s">
        <v>266</v>
      </c>
      <c r="F33" s="178">
        <f>IF(E33="Yes",5,0)</f>
        <v>5</v>
      </c>
      <c r="G33" s="569"/>
      <c r="H33" s="567"/>
      <c r="I33" s="567"/>
      <c r="J33" s="567"/>
      <c r="K33" s="568"/>
    </row>
    <row r="34" spans="2:11" ht="45.95" customHeight="1">
      <c r="B34" s="449"/>
      <c r="C34" s="131">
        <v>3</v>
      </c>
      <c r="D34" s="202" t="s">
        <v>224</v>
      </c>
      <c r="E34" s="140" t="s">
        <v>266</v>
      </c>
      <c r="F34" s="135">
        <f>IF(E34="Yes",5,0)</f>
        <v>5</v>
      </c>
      <c r="G34" s="566"/>
      <c r="H34" s="567"/>
      <c r="I34" s="567"/>
      <c r="J34" s="567"/>
      <c r="K34" s="568"/>
    </row>
    <row r="35" spans="2:11" ht="48.75" customHeight="1" thickBot="1">
      <c r="B35" s="450"/>
      <c r="C35" s="158">
        <v>4</v>
      </c>
      <c r="D35" s="207" t="s">
        <v>225</v>
      </c>
      <c r="E35" s="179" t="s">
        <v>266</v>
      </c>
      <c r="F35" s="180">
        <f>IF(E35="Yes",7,0)</f>
        <v>7</v>
      </c>
      <c r="G35" s="515"/>
      <c r="H35" s="516"/>
      <c r="I35" s="516"/>
      <c r="J35" s="516"/>
      <c r="K35" s="517"/>
    </row>
    <row r="36" spans="2:11" ht="54.7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509"/>
      <c r="H37" s="510"/>
      <c r="I37" s="510"/>
      <c r="J37" s="510"/>
      <c r="K37" s="511"/>
    </row>
    <row r="38" spans="2:11" ht="50.25" customHeight="1">
      <c r="B38" s="449"/>
      <c r="C38" s="127">
        <v>3</v>
      </c>
      <c r="D38" s="202" t="s">
        <v>228</v>
      </c>
      <c r="E38" s="140" t="s">
        <v>315</v>
      </c>
      <c r="F38" s="135">
        <f>IF(OR(E38="Yes",E38="NA"),7,0)</f>
        <v>7</v>
      </c>
      <c r="G38" s="491"/>
      <c r="H38" s="492"/>
      <c r="I38" s="492"/>
      <c r="J38" s="492"/>
      <c r="K38" s="493"/>
    </row>
    <row r="39" spans="2:11" ht="68.25" customHeight="1">
      <c r="B39" s="449"/>
      <c r="C39" s="174">
        <v>4</v>
      </c>
      <c r="D39" s="203" t="s">
        <v>273</v>
      </c>
      <c r="E39" s="177" t="s">
        <v>315</v>
      </c>
      <c r="F39" s="178">
        <f>IF(OR(E39="Yes",E39="NA"),7,0)</f>
        <v>7</v>
      </c>
      <c r="G39" s="509"/>
      <c r="H39" s="510"/>
      <c r="I39" s="510"/>
      <c r="J39" s="510"/>
      <c r="K39" s="511"/>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518"/>
      <c r="H41" s="519"/>
      <c r="I41" s="519"/>
      <c r="J41" s="519"/>
      <c r="K41" s="520"/>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266</v>
      </c>
      <c r="F44" s="135">
        <f>IF(E44="Yes",1,0)</f>
        <v>1</v>
      </c>
      <c r="G44" s="500"/>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315</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266</v>
      </c>
      <c r="F53" s="190">
        <f>IF(E53="Yes",1,0)</f>
        <v>1</v>
      </c>
      <c r="G53" s="503"/>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8">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K41"/>
    <mergeCell ref="G39:K39"/>
    <mergeCell ref="G37:K37"/>
    <mergeCell ref="G23:K23"/>
    <mergeCell ref="B36:B40"/>
    <mergeCell ref="G36:K36"/>
    <mergeCell ref="G38:K38"/>
    <mergeCell ref="G40:K40"/>
    <mergeCell ref="B24:D24"/>
    <mergeCell ref="G24:K24"/>
    <mergeCell ref="B25:B31"/>
    <mergeCell ref="G25:K25"/>
    <mergeCell ref="G26:K26"/>
    <mergeCell ref="G27:K27"/>
    <mergeCell ref="G28:K28"/>
    <mergeCell ref="G29:K29"/>
    <mergeCell ref="G30:K30"/>
    <mergeCell ref="G31:K31"/>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255" priority="9" operator="notContains" text="YES">
      <formula>ISERROR(SEARCH("YES",E17))</formula>
    </cfRule>
  </conditionalFormatting>
  <conditionalFormatting sqref="E43:E53">
    <cfRule type="containsText" dxfId="254" priority="7" operator="containsText" text="No">
      <formula>NOT(ISERROR(SEARCH("No",E43)))</formula>
    </cfRule>
  </conditionalFormatting>
  <conditionalFormatting sqref="E25:F42">
    <cfRule type="containsText" dxfId="253" priority="8" operator="containsText" text="No">
      <formula>NOT(ISERROR(SEARCH("No",E25)))</formula>
    </cfRule>
  </conditionalFormatting>
  <conditionalFormatting sqref="H4:J4">
    <cfRule type="cellIs" dxfId="252" priority="1" operator="equal">
      <formula>"NO PASA"</formula>
    </cfRule>
    <cfRule type="cellIs" dxfId="251" priority="2" operator="equal">
      <formula>"NO PASA"</formula>
    </cfRule>
    <cfRule type="cellIs" dxfId="250" priority="3" operator="equal">
      <formula>"PASA"</formula>
    </cfRule>
    <cfRule type="cellIs" dxfId="249" priority="4" operator="equal">
      <formula>"PASA"</formula>
    </cfRule>
    <cfRule type="cellIs" dxfId="248" priority="5" operator="equal">
      <formula>"NO PASA"</formula>
    </cfRule>
    <cfRule type="containsText" dxfId="247" priority="6" operator="containsText" text="PASA">
      <formula>NOT(ISERROR(SEARCH("PASA",H4)))</formula>
    </cfRule>
    <cfRule type="cellIs" dxfId="246" priority="13" operator="equal">
      <formula>$BC$7</formula>
    </cfRule>
    <cfRule type="cellIs" dxfId="245" priority="14" operator="equal">
      <formula>$BC$6</formula>
    </cfRule>
    <cfRule type="cellIs" dxfId="244" priority="15" operator="equal">
      <formula>$BC$4</formula>
    </cfRule>
  </conditionalFormatting>
  <conditionalFormatting sqref="I14">
    <cfRule type="cellIs" dxfId="243" priority="10" operator="greaterThanOrEqual">
      <formula>0.9</formula>
    </cfRule>
    <cfRule type="cellIs" dxfId="242" priority="11" operator="between">
      <formula>0.71</formula>
      <formula>0.9</formula>
    </cfRule>
    <cfRule type="cellIs" dxfId="241" priority="12" operator="lessThan">
      <formula>0.71</formula>
    </cfRule>
  </conditionalFormatting>
  <dataValidations count="3">
    <dataValidation type="list" allowBlank="1" showInputMessage="1" showErrorMessage="1" sqref="E38:E39 E50:E51" xr:uid="{00000000-0002-0000-0800-000000000000}">
      <formula1>"Yes,No,NA"</formula1>
    </dataValidation>
    <dataValidation type="list" allowBlank="1" showInputMessage="1" showErrorMessage="1" sqref="E52:E53 E25:E37 E40:E49" xr:uid="{00000000-0002-0000-0800-000001000000}">
      <formula1>"Yes,No"</formula1>
    </dataValidation>
    <dataValidation type="list" allowBlank="1" showInputMessage="1" showErrorMessage="1" sqref="E17:E23" xr:uid="{00000000-0002-0000-0800-000002000000}">
      <formula1>"Yes,No,Cured in Moment"</formula1>
    </dataValidation>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7" tint="0.39997558519241921"/>
  </sheetPr>
  <dimension ref="B1:H103"/>
  <sheetViews>
    <sheetView topLeftCell="A24" zoomScale="60" zoomScaleNormal="60" workbookViewId="0">
      <selection activeCell="D11" sqref="D11"/>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0" width="8.85546875" style="124"/>
    <col min="11" max="11" width="11" style="124" customWidth="1"/>
    <col min="12"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57" customHeight="1">
      <c r="B7" s="298"/>
      <c r="C7" s="130"/>
      <c r="D7" s="284"/>
      <c r="E7" s="130"/>
      <c r="F7" s="134"/>
    </row>
    <row r="8" spans="2:8" ht="75" customHeight="1">
      <c r="B8" s="297"/>
      <c r="C8" s="130"/>
      <c r="D8" s="284"/>
      <c r="E8" s="127"/>
      <c r="F8" s="135"/>
    </row>
    <row r="9" spans="2:8" ht="56.25" customHeight="1">
      <c r="B9" s="297"/>
      <c r="C9" s="130"/>
      <c r="D9" s="284"/>
      <c r="E9" s="127"/>
      <c r="F9" s="136"/>
    </row>
    <row r="10" spans="2:8" ht="68.25" customHeight="1">
      <c r="B10" s="297"/>
      <c r="C10" s="130"/>
      <c r="D10" s="284"/>
      <c r="E10" s="131"/>
      <c r="F10" s="136"/>
    </row>
    <row r="11" spans="2:8" ht="68.25" customHeight="1">
      <c r="B11" s="298"/>
      <c r="C11" s="130"/>
      <c r="D11" s="284"/>
      <c r="E11" s="131"/>
      <c r="F11" s="136"/>
    </row>
    <row r="12" spans="2:8" ht="44.1" customHeight="1">
      <c r="B12" s="295"/>
      <c r="C12" s="130"/>
      <c r="D12" s="307"/>
      <c r="E12" s="131"/>
      <c r="F12" s="136"/>
    </row>
    <row r="13" spans="2:8" s="126" customFormat="1" ht="30.95" customHeight="1">
      <c r="B13" s="297"/>
      <c r="C13" s="131"/>
      <c r="D13" s="131"/>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268</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240" priority="1" stopIfTrue="1">
      <formula>IF($E31="NA",TRUE,FALSE)</formula>
    </cfRule>
  </conditionalFormatting>
  <dataValidations count="3">
    <dataValidation type="list" allowBlank="1" showInputMessage="1" showErrorMessage="1" sqref="E31" xr:uid="{00000000-0002-0000-0900-000000000000}">
      <formula1>"Yes,No,NA"</formula1>
    </dataValidation>
    <dataValidation type="list" allowBlank="1" showInputMessage="1" showErrorMessage="1" sqref="E17" xr:uid="{00000000-0002-0000-0900-000001000000}">
      <formula1>"Yes,No"</formula1>
    </dataValidation>
    <dataValidation type="list" allowBlank="1" showInputMessage="1" showErrorMessage="1" sqref="E5:E6 E20:E21 E34:E35" xr:uid="{00000000-0002-0000-0900-000002000000}">
      <formula1>"Yes,No,Cured in Moment"</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0000"/>
  </sheetPr>
  <dimension ref="B1:BF56"/>
  <sheetViews>
    <sheetView tabSelected="1" topLeftCell="B3" zoomScale="60" zoomScaleNormal="60" workbookViewId="0">
      <selection activeCell="G33" sqref="G33:K33"/>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0.71093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49.5" customHeight="1" thickBot="1">
      <c r="B3" s="210" t="s">
        <v>208</v>
      </c>
      <c r="C3" s="439" t="s">
        <v>327</v>
      </c>
      <c r="D3" s="440"/>
      <c r="E3" s="161"/>
      <c r="G3" s="220"/>
      <c r="H3" s="220"/>
      <c r="I3" s="220"/>
      <c r="J3" s="220"/>
    </row>
    <row r="4" spans="2:55" ht="76.5" customHeight="1" thickBot="1">
      <c r="B4" s="211" t="s">
        <v>275</v>
      </c>
      <c r="C4" s="441" t="s">
        <v>353</v>
      </c>
      <c r="D4" s="442"/>
      <c r="E4" s="150"/>
      <c r="G4" s="186" t="s">
        <v>11</v>
      </c>
      <c r="H4" s="443" t="str">
        <f>IF(COUNTIF(BB6,"0")&gt;0,"PASA","NO PASA")</f>
        <v>PASA</v>
      </c>
      <c r="I4" s="444"/>
      <c r="J4" s="445"/>
      <c r="BA4" s="221" t="s">
        <v>174</v>
      </c>
      <c r="BB4" s="123">
        <f>COUNTIF(E17:F23,BA4)</f>
        <v>0</v>
      </c>
      <c r="BC4" s="225" t="s">
        <v>262</v>
      </c>
    </row>
    <row r="5" spans="2:55" ht="38.25" customHeight="1" thickBot="1">
      <c r="B5" s="236" t="s">
        <v>203</v>
      </c>
      <c r="C5" s="446">
        <v>46277</v>
      </c>
      <c r="D5" s="579"/>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48" t="s">
        <v>243</v>
      </c>
      <c r="C7" s="451" t="s">
        <v>252</v>
      </c>
      <c r="D7" s="452"/>
      <c r="E7" s="164"/>
      <c r="G7" s="168" t="s">
        <v>199</v>
      </c>
      <c r="H7" s="169">
        <v>18</v>
      </c>
      <c r="I7" s="169">
        <f>SUM(F32:F35)</f>
        <v>18</v>
      </c>
      <c r="J7" s="170">
        <f t="shared" si="0"/>
        <v>1</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5</v>
      </c>
      <c r="J11" s="170">
        <f t="shared" ref="J11:J12" si="1">I11/H11</f>
        <v>1</v>
      </c>
    </row>
    <row r="12" spans="2:55" ht="72.75" customHeight="1" thickBot="1">
      <c r="B12" s="219" t="s">
        <v>244</v>
      </c>
      <c r="C12" s="459" t="s">
        <v>246</v>
      </c>
      <c r="D12" s="460"/>
      <c r="E12" s="166"/>
      <c r="G12" s="198" t="s">
        <v>271</v>
      </c>
      <c r="H12" s="199">
        <f>SUM(H6:H11)</f>
        <v>117</v>
      </c>
      <c r="I12" s="199">
        <f>SUM(I6:I11)</f>
        <v>117</v>
      </c>
      <c r="J12" s="200">
        <f t="shared" si="1"/>
        <v>1</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1</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G20" s="576"/>
      <c r="H20" s="577"/>
      <c r="I20" s="577"/>
      <c r="J20" s="577"/>
      <c r="K20" s="578"/>
      <c r="V20" s="122"/>
      <c r="AY20" s="172" t="str">
        <f t="shared" si="2"/>
        <v>Yes</v>
      </c>
      <c r="BA20" s="222"/>
      <c r="BB20" s="122"/>
      <c r="BC20" s="122"/>
    </row>
    <row r="21" spans="2:58" s="172" customFormat="1" ht="45.95" customHeight="1">
      <c r="B21" s="449"/>
      <c r="C21" s="214">
        <v>5</v>
      </c>
      <c r="D21" s="215" t="s">
        <v>213</v>
      </c>
      <c r="E21" s="478" t="s">
        <v>266</v>
      </c>
      <c r="F21" s="479"/>
      <c r="G21" s="480"/>
      <c r="H21" s="481"/>
      <c r="I21" s="481"/>
      <c r="J21" s="481"/>
      <c r="K21" s="482"/>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c r="H24" s="466"/>
      <c r="I24" s="466"/>
      <c r="J24" s="466"/>
      <c r="K24" s="467"/>
    </row>
    <row r="25" spans="2:58" ht="63.75" customHeight="1">
      <c r="B25" s="449" t="s">
        <v>254</v>
      </c>
      <c r="C25" s="174">
        <v>1</v>
      </c>
      <c r="D25" s="191" t="s">
        <v>259</v>
      </c>
      <c r="E25" s="175" t="s">
        <v>266</v>
      </c>
      <c r="F25" s="176">
        <f>IF(E25="Yes",5,0)</f>
        <v>5</v>
      </c>
      <c r="G25" s="524"/>
      <c r="H25" s="525"/>
      <c r="I25" s="525"/>
      <c r="J25" s="525"/>
      <c r="K25" s="526"/>
    </row>
    <row r="26" spans="2:58" ht="45.95" customHeight="1">
      <c r="B26" s="449"/>
      <c r="C26" s="127">
        <v>2</v>
      </c>
      <c r="D26" s="192" t="s">
        <v>219</v>
      </c>
      <c r="E26" s="140" t="s">
        <v>266</v>
      </c>
      <c r="F26" s="135">
        <f>IF(E26="Yes",5,0)</f>
        <v>5</v>
      </c>
      <c r="G26" s="500"/>
      <c r="H26" s="501"/>
      <c r="I26" s="501"/>
      <c r="J26" s="501"/>
      <c r="K26" s="502"/>
    </row>
    <row r="27" spans="2:58" ht="45.95" customHeight="1">
      <c r="B27" s="449"/>
      <c r="C27" s="143">
        <v>3</v>
      </c>
      <c r="D27" s="193" t="s">
        <v>216</v>
      </c>
      <c r="E27" s="177" t="s">
        <v>266</v>
      </c>
      <c r="F27" s="178">
        <f>IF(E27="Yes",5,0)</f>
        <v>5</v>
      </c>
      <c r="G27" s="503"/>
      <c r="H27" s="504"/>
      <c r="I27" s="504"/>
      <c r="J27" s="504"/>
      <c r="K27" s="505"/>
    </row>
    <row r="28" spans="2:58" ht="51.75" customHeight="1">
      <c r="B28" s="449"/>
      <c r="C28" s="127">
        <v>4</v>
      </c>
      <c r="D28" s="192" t="s">
        <v>217</v>
      </c>
      <c r="E28" s="140" t="s">
        <v>266</v>
      </c>
      <c r="F28" s="135">
        <f t="shared" ref="F28:F32" si="3">IF(E28="Yes",1,0)</f>
        <v>1</v>
      </c>
      <c r="G28" s="500"/>
      <c r="H28" s="501"/>
      <c r="I28" s="501"/>
      <c r="J28" s="501"/>
      <c r="K28" s="502"/>
    </row>
    <row r="29" spans="2:58" ht="50.25" customHeight="1">
      <c r="B29" s="449"/>
      <c r="C29" s="151">
        <v>5</v>
      </c>
      <c r="D29" s="193" t="s">
        <v>218</v>
      </c>
      <c r="E29" s="177" t="s">
        <v>266</v>
      </c>
      <c r="F29" s="178">
        <f t="shared" si="3"/>
        <v>1</v>
      </c>
      <c r="G29" s="509"/>
      <c r="H29" s="510"/>
      <c r="I29" s="510"/>
      <c r="J29" s="510"/>
      <c r="K29" s="511"/>
    </row>
    <row r="30" spans="2:58" ht="47.25" customHeight="1">
      <c r="B30" s="449"/>
      <c r="C30" s="131">
        <v>6</v>
      </c>
      <c r="D30" s="192" t="s">
        <v>220</v>
      </c>
      <c r="E30" s="140" t="s">
        <v>266</v>
      </c>
      <c r="F30" s="135">
        <f>IF(E30="Yes",7,0)</f>
        <v>7</v>
      </c>
      <c r="G30" s="500"/>
      <c r="H30" s="501"/>
      <c r="I30" s="501"/>
      <c r="J30" s="501"/>
      <c r="K30" s="502"/>
    </row>
    <row r="31" spans="2:58" ht="48.75" customHeight="1" thickBot="1">
      <c r="B31" s="450"/>
      <c r="C31" s="158">
        <v>7</v>
      </c>
      <c r="D31" s="194" t="s">
        <v>221</v>
      </c>
      <c r="E31" s="179" t="s">
        <v>266</v>
      </c>
      <c r="F31" s="180">
        <f>IF(E31="Yes",7,0)</f>
        <v>7</v>
      </c>
      <c r="G31" s="545"/>
      <c r="H31" s="546"/>
      <c r="I31" s="546"/>
      <c r="J31" s="546"/>
      <c r="K31" s="562"/>
    </row>
    <row r="32" spans="2:58" ht="48.75" customHeight="1">
      <c r="B32" s="448" t="s">
        <v>257</v>
      </c>
      <c r="C32" s="227">
        <v>1</v>
      </c>
      <c r="D32" s="206" t="s">
        <v>222</v>
      </c>
      <c r="E32" s="181" t="s">
        <v>266</v>
      </c>
      <c r="F32" s="182">
        <f t="shared" si="3"/>
        <v>1</v>
      </c>
      <c r="G32" s="512"/>
      <c r="H32" s="513"/>
      <c r="I32" s="513"/>
      <c r="J32" s="513"/>
      <c r="K32" s="514"/>
    </row>
    <row r="33" spans="2:11" ht="45.95" customHeight="1">
      <c r="B33" s="449"/>
      <c r="C33" s="143">
        <v>2</v>
      </c>
      <c r="D33" s="203" t="s">
        <v>223</v>
      </c>
      <c r="E33" s="177" t="s">
        <v>266</v>
      </c>
      <c r="F33" s="178">
        <f>IF(E33="Yes",5,0)</f>
        <v>5</v>
      </c>
      <c r="G33" s="503"/>
      <c r="H33" s="504"/>
      <c r="I33" s="504"/>
      <c r="J33" s="504"/>
      <c r="K33" s="505"/>
    </row>
    <row r="34" spans="2:11" ht="45.95" customHeight="1">
      <c r="B34" s="449"/>
      <c r="C34" s="131">
        <v>3</v>
      </c>
      <c r="D34" s="202" t="s">
        <v>224</v>
      </c>
      <c r="E34" s="140" t="s">
        <v>266</v>
      </c>
      <c r="F34" s="135">
        <f>IF(E34="Yes",5,0)</f>
        <v>5</v>
      </c>
      <c r="G34" s="500"/>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509"/>
      <c r="H37" s="510"/>
      <c r="I37" s="510"/>
      <c r="J37" s="510"/>
      <c r="K37" s="511"/>
    </row>
    <row r="38" spans="2:11" ht="50.25"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266</v>
      </c>
      <c r="F39" s="178">
        <f>IF(OR(E39="Yes",E39="NA"),7,0)</f>
        <v>7</v>
      </c>
      <c r="G39" s="509"/>
      <c r="H39" s="510"/>
      <c r="I39" s="510"/>
      <c r="J39" s="510"/>
      <c r="K39" s="511"/>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518"/>
      <c r="H41" s="519"/>
      <c r="I41" s="519"/>
      <c r="J41" s="519"/>
      <c r="K41" s="520"/>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266</v>
      </c>
      <c r="F44" s="135">
        <f>IF(E44="Yes",1,0)</f>
        <v>1</v>
      </c>
      <c r="G44" s="500"/>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315</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266</v>
      </c>
      <c r="F53" s="190">
        <f>IF(E53="Yes",1,0)</f>
        <v>1</v>
      </c>
      <c r="G53" s="503"/>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9">
    <mergeCell ref="G39:K39"/>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B36:B40"/>
    <mergeCell ref="G36:K36"/>
    <mergeCell ref="G38:K38"/>
    <mergeCell ref="G40:K40"/>
    <mergeCell ref="G41:K41"/>
    <mergeCell ref="G37:K37"/>
    <mergeCell ref="B24:D24"/>
    <mergeCell ref="G24:K24"/>
    <mergeCell ref="B25:B31"/>
    <mergeCell ref="G25:K25"/>
    <mergeCell ref="G26:K26"/>
    <mergeCell ref="G27:K27"/>
    <mergeCell ref="G28:K28"/>
    <mergeCell ref="G30:K30"/>
    <mergeCell ref="G31:K31"/>
    <mergeCell ref="G29:K29"/>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G20:K20"/>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s>
  <conditionalFormatting sqref="E17:E23">
    <cfRule type="notContainsText" dxfId="239" priority="9" operator="notContains" text="YES">
      <formula>ISERROR(SEARCH("YES",E17))</formula>
    </cfRule>
  </conditionalFormatting>
  <conditionalFormatting sqref="E43:E53">
    <cfRule type="containsText" dxfId="238" priority="7" operator="containsText" text="No">
      <formula>NOT(ISERROR(SEARCH("No",E43)))</formula>
    </cfRule>
  </conditionalFormatting>
  <conditionalFormatting sqref="E25:F42">
    <cfRule type="containsText" dxfId="237" priority="8" operator="containsText" text="No">
      <formula>NOT(ISERROR(SEARCH("No",E25)))</formula>
    </cfRule>
  </conditionalFormatting>
  <conditionalFormatting sqref="H4:J4">
    <cfRule type="cellIs" dxfId="236" priority="1" operator="equal">
      <formula>"NO PASA"</formula>
    </cfRule>
    <cfRule type="cellIs" dxfId="235" priority="2" operator="equal">
      <formula>"NO PASA"</formula>
    </cfRule>
    <cfRule type="cellIs" dxfId="234" priority="3" operator="equal">
      <formula>"PASA"</formula>
    </cfRule>
    <cfRule type="cellIs" dxfId="233" priority="4" operator="equal">
      <formula>"PASA"</formula>
    </cfRule>
    <cfRule type="cellIs" dxfId="232" priority="5" operator="equal">
      <formula>"NO PASA"</formula>
    </cfRule>
    <cfRule type="containsText" dxfId="231" priority="6" operator="containsText" text="PASA">
      <formula>NOT(ISERROR(SEARCH("PASA",H4)))</formula>
    </cfRule>
    <cfRule type="cellIs" dxfId="230" priority="13" operator="equal">
      <formula>$BC$7</formula>
    </cfRule>
    <cfRule type="cellIs" dxfId="229" priority="14" operator="equal">
      <formula>$BC$6</formula>
    </cfRule>
    <cfRule type="cellIs" dxfId="228" priority="15" operator="equal">
      <formula>$BC$4</formula>
    </cfRule>
  </conditionalFormatting>
  <conditionalFormatting sqref="I14">
    <cfRule type="cellIs" dxfId="227" priority="10" operator="greaterThanOrEqual">
      <formula>0.9</formula>
    </cfRule>
    <cfRule type="cellIs" dxfId="226" priority="11" operator="between">
      <formula>0.71</formula>
      <formula>0.9</formula>
    </cfRule>
    <cfRule type="cellIs" dxfId="225" priority="12" operator="lessThan">
      <formula>0.71</formula>
    </cfRule>
  </conditionalFormatting>
  <dataValidations count="3">
    <dataValidation type="list" allowBlank="1" showInputMessage="1" showErrorMessage="1" sqref="E38:E39 E50:E51" xr:uid="{00000000-0002-0000-1600-000000000000}">
      <formula1>"Yes,No,NA"</formula1>
    </dataValidation>
    <dataValidation type="list" allowBlank="1" showInputMessage="1" showErrorMessage="1" sqref="E52:E53 E25:E37 E40:E49" xr:uid="{00000000-0002-0000-1600-000001000000}">
      <formula1>"Yes,No"</formula1>
    </dataValidation>
    <dataValidation type="list" allowBlank="1" showInputMessage="1" showErrorMessage="1" sqref="E17:E23" xr:uid="{00000000-0002-0000-1600-000002000000}">
      <formula1>"Yes,No,Cured in Moment"</formula1>
    </dataValidation>
  </dataValidation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0000"/>
  </sheetPr>
  <dimension ref="B1:H103"/>
  <sheetViews>
    <sheetView topLeftCell="A4" zoomScale="50" zoomScaleNormal="50" workbookViewId="0">
      <selection activeCell="B11" sqref="B11"/>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83.25" customHeight="1">
      <c r="B7" s="298" t="s">
        <v>388</v>
      </c>
      <c r="C7" s="130" t="s">
        <v>379</v>
      </c>
      <c r="D7" s="284">
        <v>46295</v>
      </c>
      <c r="E7" s="130"/>
      <c r="F7" s="134"/>
    </row>
    <row r="8" spans="2:8" ht="81.75" customHeight="1">
      <c r="B8" s="302" t="s">
        <v>389</v>
      </c>
      <c r="C8" s="130" t="s">
        <v>379</v>
      </c>
      <c r="D8" s="284">
        <v>46295</v>
      </c>
      <c r="E8" s="127"/>
      <c r="F8" s="135"/>
    </row>
    <row r="9" spans="2:8" ht="89.25" customHeight="1">
      <c r="B9" s="302" t="s">
        <v>390</v>
      </c>
      <c r="C9" s="130" t="s">
        <v>379</v>
      </c>
      <c r="D9" s="284">
        <v>46295</v>
      </c>
      <c r="E9" s="127"/>
      <c r="F9" s="136"/>
    </row>
    <row r="10" spans="2:8" ht="108.75" customHeight="1">
      <c r="B10" s="302" t="s">
        <v>496</v>
      </c>
      <c r="C10" s="130" t="s">
        <v>379</v>
      </c>
      <c r="D10" s="284">
        <v>46295</v>
      </c>
      <c r="E10" s="131"/>
      <c r="F10" s="136"/>
    </row>
    <row r="11" spans="2:8" ht="62.25" customHeight="1">
      <c r="B11" s="302"/>
      <c r="C11" s="130"/>
      <c r="D11" s="284"/>
      <c r="E11" s="131"/>
      <c r="F11" s="136"/>
    </row>
    <row r="12" spans="2:8" ht="44.1" customHeight="1">
      <c r="B12" s="302"/>
      <c r="C12" s="130"/>
      <c r="D12" s="131"/>
      <c r="E12" s="131"/>
      <c r="F12" s="136"/>
    </row>
    <row r="13" spans="2:8" s="126" customFormat="1" ht="38.25" customHeight="1">
      <c r="B13" s="302"/>
      <c r="C13" s="130"/>
      <c r="D13" s="131"/>
      <c r="E13" s="131"/>
      <c r="F13" s="136"/>
    </row>
    <row r="14" spans="2:8" ht="39.950000000000003" customHeight="1">
      <c r="B14" s="302"/>
      <c r="C14" s="130"/>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268</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224" priority="1" stopIfTrue="1">
      <formula>IF($E31="NA",TRUE,FALSE)</formula>
    </cfRule>
  </conditionalFormatting>
  <dataValidations count="3">
    <dataValidation type="list" allowBlank="1" showInputMessage="1" showErrorMessage="1" sqref="E31" xr:uid="{00000000-0002-0000-1700-000000000000}">
      <formula1>"Yes,No,NA"</formula1>
    </dataValidation>
    <dataValidation type="list" allowBlank="1" showInputMessage="1" showErrorMessage="1" sqref="E17" xr:uid="{00000000-0002-0000-1700-000001000000}">
      <formula1>"Yes,No"</formula1>
    </dataValidation>
    <dataValidation type="list" allowBlank="1" showInputMessage="1" showErrorMessage="1" sqref="E5:E6 E20:E21 E34:E35" xr:uid="{00000000-0002-0000-1700-000002000000}">
      <formula1>"Yes,No,Cured in Moment"</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B1:BF56"/>
  <sheetViews>
    <sheetView showGridLines="0" topLeftCell="A46" zoomScale="60" zoomScaleNormal="60" workbookViewId="0">
      <selection activeCell="E53" sqref="E53"/>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855468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48" customHeight="1" thickBot="1">
      <c r="B3" s="210" t="s">
        <v>208</v>
      </c>
      <c r="C3" s="439" t="s">
        <v>321</v>
      </c>
      <c r="D3" s="440"/>
      <c r="E3" s="161"/>
      <c r="G3" s="220"/>
      <c r="H3" s="220"/>
      <c r="I3" s="220"/>
      <c r="J3" s="220"/>
    </row>
    <row r="4" spans="2:55" ht="72" customHeight="1" thickBot="1">
      <c r="B4" s="211" t="s">
        <v>275</v>
      </c>
      <c r="C4" s="441" t="s">
        <v>368</v>
      </c>
      <c r="D4" s="442"/>
      <c r="E4" s="150"/>
      <c r="G4" s="186" t="s">
        <v>11</v>
      </c>
      <c r="H4" s="443" t="str">
        <f>IF(COUNTIF(BB6,"0")&gt;0,"PASA","NO PASA")</f>
        <v>PASA</v>
      </c>
      <c r="I4" s="444"/>
      <c r="J4" s="445"/>
      <c r="BA4" s="221" t="s">
        <v>174</v>
      </c>
      <c r="BB4" s="123">
        <f>COUNTIF(E17:F23,BA4)</f>
        <v>0</v>
      </c>
      <c r="BC4" s="225" t="s">
        <v>262</v>
      </c>
    </row>
    <row r="5" spans="2:55" ht="55.5" customHeight="1" thickBot="1">
      <c r="B5" s="236" t="s">
        <v>203</v>
      </c>
      <c r="C5" s="446">
        <v>46273</v>
      </c>
      <c r="D5" s="447"/>
      <c r="G5" s="228" t="s">
        <v>198</v>
      </c>
      <c r="H5" s="185" t="s">
        <v>3</v>
      </c>
      <c r="I5" s="229" t="s">
        <v>4</v>
      </c>
      <c r="J5" s="230" t="s">
        <v>5</v>
      </c>
      <c r="BC5" s="225"/>
    </row>
    <row r="6" spans="2:55" ht="48" customHeight="1" thickBot="1">
      <c r="C6" s="122"/>
      <c r="E6" s="128"/>
      <c r="G6" s="187" t="s">
        <v>254</v>
      </c>
      <c r="H6" s="160">
        <v>31</v>
      </c>
      <c r="I6" s="160">
        <f>SUM(F25:F31)</f>
        <v>12</v>
      </c>
      <c r="J6" s="167">
        <f t="shared" ref="J6:J9" si="0">I6/H6</f>
        <v>0.38709677419354838</v>
      </c>
      <c r="BA6" s="221" t="s">
        <v>193</v>
      </c>
      <c r="BB6" s="123">
        <f>COUNTIF(E17:F23,BA6)</f>
        <v>0</v>
      </c>
      <c r="BC6" s="225" t="s">
        <v>263</v>
      </c>
    </row>
    <row r="7" spans="2:55" ht="48" customHeight="1" thickBot="1">
      <c r="B7" s="448" t="s">
        <v>243</v>
      </c>
      <c r="C7" s="451" t="s">
        <v>252</v>
      </c>
      <c r="D7" s="452"/>
      <c r="E7" s="164"/>
      <c r="G7" s="168" t="s">
        <v>199</v>
      </c>
      <c r="H7" s="169">
        <v>18</v>
      </c>
      <c r="I7" s="169">
        <f>SUM(F32:F35)</f>
        <v>13</v>
      </c>
      <c r="J7" s="170">
        <f t="shared" si="0"/>
        <v>0.72222222222222221</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row>
    <row r="9" spans="2:55" ht="63" customHeight="1" thickBot="1">
      <c r="B9" s="450"/>
      <c r="C9" s="455"/>
      <c r="D9" s="456"/>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12</v>
      </c>
      <c r="J10" s="171">
        <f>I10/H10</f>
        <v>0.92307692307692313</v>
      </c>
    </row>
    <row r="11" spans="2:55" ht="48" customHeight="1" thickBot="1">
      <c r="B11" s="210" t="s">
        <v>248</v>
      </c>
      <c r="C11" s="457" t="s">
        <v>251</v>
      </c>
      <c r="D11" s="458"/>
      <c r="E11" s="128"/>
      <c r="G11" s="168" t="s">
        <v>256</v>
      </c>
      <c r="H11" s="169">
        <v>5</v>
      </c>
      <c r="I11" s="169">
        <f>SUM(F49:F53)</f>
        <v>4</v>
      </c>
      <c r="J11" s="170">
        <f t="shared" ref="J11:J12" si="1">I11/H11</f>
        <v>0.8</v>
      </c>
    </row>
    <row r="12" spans="2:55" ht="72.75" customHeight="1" thickBot="1">
      <c r="B12" s="219" t="s">
        <v>244</v>
      </c>
      <c r="C12" s="459" t="s">
        <v>246</v>
      </c>
      <c r="D12" s="460"/>
      <c r="E12" s="166"/>
      <c r="G12" s="198" t="s">
        <v>271</v>
      </c>
      <c r="H12" s="199">
        <f>SUM(H6:H11)</f>
        <v>117</v>
      </c>
      <c r="I12" s="199">
        <f>SUM(I6:I11)</f>
        <v>90</v>
      </c>
      <c r="J12" s="200">
        <f t="shared" si="1"/>
        <v>0.76923076923076927</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0.76923076923076927</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K20" s="173"/>
      <c r="V20" s="122"/>
      <c r="AY20" s="172" t="str">
        <f t="shared" si="2"/>
        <v>Yes</v>
      </c>
      <c r="BA20" s="222"/>
      <c r="BB20" s="122"/>
      <c r="BC20" s="122"/>
    </row>
    <row r="21" spans="2:58" s="172" customFormat="1" ht="45.95" customHeight="1">
      <c r="B21" s="449"/>
      <c r="C21" s="214">
        <v>5</v>
      </c>
      <c r="D21" s="215" t="s">
        <v>213</v>
      </c>
      <c r="E21" s="478" t="s">
        <v>266</v>
      </c>
      <c r="F21" s="479"/>
      <c r="G21" s="475"/>
      <c r="H21" s="476"/>
      <c r="I21" s="476"/>
      <c r="J21" s="476"/>
      <c r="K21" s="477"/>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524"/>
      <c r="H25" s="525"/>
      <c r="I25" s="525"/>
      <c r="J25" s="525"/>
      <c r="K25" s="526"/>
    </row>
    <row r="26" spans="2:58" ht="45.95" customHeight="1">
      <c r="B26" s="449"/>
      <c r="C26" s="127">
        <v>2</v>
      </c>
      <c r="D26" s="192" t="s">
        <v>219</v>
      </c>
      <c r="E26" s="140" t="s">
        <v>193</v>
      </c>
      <c r="F26" s="135">
        <f>IF(E26="Yes",5,0)</f>
        <v>0</v>
      </c>
      <c r="G26" s="500" t="s">
        <v>475</v>
      </c>
      <c r="H26" s="501"/>
      <c r="I26" s="501"/>
      <c r="J26" s="501"/>
      <c r="K26" s="502"/>
    </row>
    <row r="27" spans="2:58" ht="45.95" customHeight="1">
      <c r="B27" s="449"/>
      <c r="C27" s="143">
        <v>3</v>
      </c>
      <c r="D27" s="193" t="s">
        <v>216</v>
      </c>
      <c r="E27" s="177" t="s">
        <v>266</v>
      </c>
      <c r="F27" s="178">
        <f>IF(E27="Yes",5,0)</f>
        <v>5</v>
      </c>
      <c r="G27" s="503"/>
      <c r="H27" s="504"/>
      <c r="I27" s="504"/>
      <c r="J27" s="504"/>
      <c r="K27" s="505"/>
    </row>
    <row r="28" spans="2:58" ht="51.75" customHeight="1">
      <c r="B28" s="449"/>
      <c r="C28" s="127">
        <v>4</v>
      </c>
      <c r="D28" s="192" t="s">
        <v>217</v>
      </c>
      <c r="E28" s="140" t="s">
        <v>266</v>
      </c>
      <c r="F28" s="135">
        <f t="shared" ref="F28:F32" si="3">IF(E28="Yes",1,0)</f>
        <v>1</v>
      </c>
      <c r="G28" s="500"/>
      <c r="H28" s="501"/>
      <c r="I28" s="501"/>
      <c r="J28" s="501"/>
      <c r="K28" s="502"/>
    </row>
    <row r="29" spans="2:58" ht="50.25" customHeight="1">
      <c r="B29" s="449"/>
      <c r="C29" s="151">
        <v>5</v>
      </c>
      <c r="D29" s="193" t="s">
        <v>218</v>
      </c>
      <c r="E29" s="177" t="s">
        <v>266</v>
      </c>
      <c r="F29" s="178">
        <f t="shared" si="3"/>
        <v>1</v>
      </c>
      <c r="G29" s="509"/>
      <c r="H29" s="510"/>
      <c r="I29" s="510"/>
      <c r="J29" s="510"/>
      <c r="K29" s="511"/>
    </row>
    <row r="30" spans="2:58" ht="47.25" customHeight="1">
      <c r="B30" s="449"/>
      <c r="C30" s="131">
        <v>6</v>
      </c>
      <c r="D30" s="192" t="s">
        <v>220</v>
      </c>
      <c r="E30" s="140" t="s">
        <v>193</v>
      </c>
      <c r="F30" s="135">
        <f>IF(E30="Yes",7,0)</f>
        <v>0</v>
      </c>
      <c r="G30" s="563" t="s">
        <v>474</v>
      </c>
      <c r="H30" s="564"/>
      <c r="I30" s="564"/>
      <c r="J30" s="564"/>
      <c r="K30" s="565"/>
    </row>
    <row r="31" spans="2:58" ht="48.75" customHeight="1" thickBot="1">
      <c r="B31" s="450"/>
      <c r="C31" s="158">
        <v>7</v>
      </c>
      <c r="D31" s="194" t="s">
        <v>221</v>
      </c>
      <c r="E31" s="179" t="s">
        <v>193</v>
      </c>
      <c r="F31" s="180">
        <f>IF(E31="Yes",7,0)</f>
        <v>0</v>
      </c>
      <c r="G31" s="545" t="s">
        <v>477</v>
      </c>
      <c r="H31" s="546"/>
      <c r="I31" s="546"/>
      <c r="J31" s="546"/>
      <c r="K31" s="562"/>
    </row>
    <row r="32" spans="2:58" ht="48.75" customHeight="1">
      <c r="B32" s="448" t="s">
        <v>257</v>
      </c>
      <c r="C32" s="227">
        <v>1</v>
      </c>
      <c r="D32" s="206" t="s">
        <v>222</v>
      </c>
      <c r="E32" s="181" t="s">
        <v>266</v>
      </c>
      <c r="F32" s="182">
        <f t="shared" si="3"/>
        <v>1</v>
      </c>
      <c r="G32" s="512"/>
      <c r="H32" s="513"/>
      <c r="I32" s="513"/>
      <c r="J32" s="513"/>
      <c r="K32" s="514"/>
    </row>
    <row r="33" spans="2:11" ht="45.95" customHeight="1">
      <c r="B33" s="449"/>
      <c r="C33" s="143">
        <v>2</v>
      </c>
      <c r="D33" s="203" t="s">
        <v>223</v>
      </c>
      <c r="E33" s="177" t="s">
        <v>266</v>
      </c>
      <c r="F33" s="178">
        <f>IF(E33="Yes",5,0)</f>
        <v>5</v>
      </c>
      <c r="G33" s="503"/>
      <c r="H33" s="504"/>
      <c r="I33" s="504"/>
      <c r="J33" s="504"/>
      <c r="K33" s="505"/>
    </row>
    <row r="34" spans="2:11" ht="45.95" customHeight="1">
      <c r="B34" s="449"/>
      <c r="C34" s="131">
        <v>3</v>
      </c>
      <c r="D34" s="202" t="s">
        <v>224</v>
      </c>
      <c r="E34" s="140" t="s">
        <v>193</v>
      </c>
      <c r="F34" s="135">
        <f>IF(E34="Yes",5,0)</f>
        <v>0</v>
      </c>
      <c r="G34" s="500" t="s">
        <v>480</v>
      </c>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3.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509"/>
      <c r="H37" s="510"/>
      <c r="I37" s="510"/>
      <c r="J37" s="510"/>
      <c r="K37" s="511"/>
    </row>
    <row r="38" spans="2:11" ht="50.25"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315</v>
      </c>
      <c r="F39" s="178">
        <f>IF(OR(E39="Yes",E39="NA"),7,0)</f>
        <v>7</v>
      </c>
      <c r="G39" s="195"/>
      <c r="H39" s="196"/>
      <c r="I39" s="196"/>
      <c r="J39" s="196"/>
      <c r="K39" s="197"/>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518"/>
      <c r="H41" s="519"/>
      <c r="I41" s="519"/>
      <c r="J41" s="519"/>
      <c r="K41" s="520"/>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193</v>
      </c>
      <c r="F44" s="135">
        <f>IF(E44="Yes",1,0)</f>
        <v>0</v>
      </c>
      <c r="G44" s="500" t="s">
        <v>476</v>
      </c>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193</v>
      </c>
      <c r="F48" s="137">
        <f>IF(E48="Yes",1,0)</f>
        <v>0</v>
      </c>
      <c r="G48" s="494" t="s">
        <v>479</v>
      </c>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315</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193</v>
      </c>
      <c r="F53" s="190">
        <f>IF(E53="Yes",1,0)</f>
        <v>0</v>
      </c>
      <c r="G53" s="503" t="s">
        <v>478</v>
      </c>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7">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K41"/>
    <mergeCell ref="G23:K23"/>
    <mergeCell ref="B36:B40"/>
    <mergeCell ref="G36:K36"/>
    <mergeCell ref="G38:K38"/>
    <mergeCell ref="G40:K40"/>
    <mergeCell ref="B24:D24"/>
    <mergeCell ref="G24:K24"/>
    <mergeCell ref="B25:B31"/>
    <mergeCell ref="G25:K25"/>
    <mergeCell ref="G26:K26"/>
    <mergeCell ref="G27:K27"/>
    <mergeCell ref="G28:K28"/>
    <mergeCell ref="G29:K29"/>
    <mergeCell ref="G30:K30"/>
    <mergeCell ref="G31:K31"/>
    <mergeCell ref="G37:K37"/>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223" priority="9" operator="notContains" text="YES">
      <formula>ISERROR(SEARCH("YES",E17))</formula>
    </cfRule>
  </conditionalFormatting>
  <conditionalFormatting sqref="E43:E53">
    <cfRule type="containsText" dxfId="222" priority="7" operator="containsText" text="No">
      <formula>NOT(ISERROR(SEARCH("No",E43)))</formula>
    </cfRule>
  </conditionalFormatting>
  <conditionalFormatting sqref="E25:F42">
    <cfRule type="containsText" dxfId="221" priority="8" operator="containsText" text="No">
      <formula>NOT(ISERROR(SEARCH("No",E25)))</formula>
    </cfRule>
  </conditionalFormatting>
  <conditionalFormatting sqref="H4:J4">
    <cfRule type="cellIs" dxfId="220" priority="1" operator="equal">
      <formula>"NO PASA"</formula>
    </cfRule>
    <cfRule type="cellIs" dxfId="219" priority="2" operator="equal">
      <formula>"NO PASA"</formula>
    </cfRule>
    <cfRule type="cellIs" dxfId="218" priority="3" operator="equal">
      <formula>"PASA"</formula>
    </cfRule>
    <cfRule type="cellIs" dxfId="217" priority="4" operator="equal">
      <formula>"PASA"</formula>
    </cfRule>
    <cfRule type="cellIs" dxfId="216" priority="5" operator="equal">
      <formula>"NO PASA"</formula>
    </cfRule>
    <cfRule type="containsText" dxfId="215" priority="6" operator="containsText" text="PASA">
      <formula>NOT(ISERROR(SEARCH("PASA",H4)))</formula>
    </cfRule>
    <cfRule type="cellIs" dxfId="214" priority="13" operator="equal">
      <formula>$BC$7</formula>
    </cfRule>
    <cfRule type="cellIs" dxfId="213" priority="14" operator="equal">
      <formula>$BC$6</formula>
    </cfRule>
    <cfRule type="cellIs" dxfId="212" priority="15" operator="equal">
      <formula>$BC$4</formula>
    </cfRule>
  </conditionalFormatting>
  <conditionalFormatting sqref="I14">
    <cfRule type="cellIs" dxfId="211" priority="10" operator="greaterThanOrEqual">
      <formula>0.9</formula>
    </cfRule>
    <cfRule type="cellIs" dxfId="210" priority="11" operator="between">
      <formula>0.71</formula>
      <formula>0.9</formula>
    </cfRule>
    <cfRule type="cellIs" dxfId="209" priority="12" operator="lessThan">
      <formula>0.71</formula>
    </cfRule>
  </conditionalFormatting>
  <dataValidations count="3">
    <dataValidation type="list" allowBlank="1" showInputMessage="1" showErrorMessage="1" sqref="E17:E23" xr:uid="{00000000-0002-0000-0A00-000000000000}">
      <formula1>"Yes,No,Cured in Moment"</formula1>
    </dataValidation>
    <dataValidation type="list" allowBlank="1" showInputMessage="1" showErrorMessage="1" sqref="E52:E53 E25:E37 E40:E49" xr:uid="{00000000-0002-0000-0A00-000001000000}">
      <formula1>"Yes,No"</formula1>
    </dataValidation>
    <dataValidation type="list" allowBlank="1" showInputMessage="1" showErrorMessage="1" sqref="E38:E39 E50:E51" xr:uid="{00000000-0002-0000-0A00-000002000000}">
      <formula1>"Yes,No,NA"</formula1>
    </dataValidation>
  </dataValidations>
  <pageMargins left="0.25" right="0.25" top="0.75" bottom="0.75" header="0.3" footer="0.3"/>
  <pageSetup paperSize="9" scale="47" fitToHeight="3" orientation="landscape" r:id="rId1"/>
  <rowBreaks count="1" manualBreakCount="1">
    <brk id="40" max="10" man="1"/>
  </rowBreak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B1:H103"/>
  <sheetViews>
    <sheetView topLeftCell="A4" zoomScale="60" zoomScaleNormal="60" workbookViewId="0">
      <selection activeCell="D12" sqref="D12"/>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318</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81.75" customHeight="1">
      <c r="B7" s="300" t="s">
        <v>481</v>
      </c>
      <c r="C7" s="130" t="s">
        <v>380</v>
      </c>
      <c r="D7" s="284" t="s">
        <v>387</v>
      </c>
      <c r="E7" s="130"/>
      <c r="F7" s="134"/>
    </row>
    <row r="8" spans="2:8" ht="75.75" customHeight="1">
      <c r="B8" s="298" t="s">
        <v>482</v>
      </c>
      <c r="C8" s="130" t="s">
        <v>380</v>
      </c>
      <c r="D8" s="284" t="s">
        <v>387</v>
      </c>
      <c r="E8" s="127"/>
      <c r="F8" s="135"/>
    </row>
    <row r="9" spans="2:8" ht="81" customHeight="1">
      <c r="B9" s="302" t="s">
        <v>483</v>
      </c>
      <c r="C9" s="130" t="s">
        <v>380</v>
      </c>
      <c r="D9" s="284" t="s">
        <v>387</v>
      </c>
      <c r="E9" s="127"/>
      <c r="F9" s="136"/>
    </row>
    <row r="10" spans="2:8" ht="77.25" customHeight="1">
      <c r="B10" s="302" t="s">
        <v>484</v>
      </c>
      <c r="C10" s="130" t="s">
        <v>380</v>
      </c>
      <c r="D10" s="138">
        <v>46295</v>
      </c>
      <c r="E10" s="131"/>
      <c r="F10" s="136"/>
    </row>
    <row r="11" spans="2:8" ht="54">
      <c r="B11" s="302" t="s">
        <v>485</v>
      </c>
      <c r="C11" s="130" t="s">
        <v>380</v>
      </c>
      <c r="D11" s="284" t="s">
        <v>387</v>
      </c>
      <c r="E11" s="131"/>
      <c r="F11" s="136"/>
    </row>
    <row r="12" spans="2:8" ht="44.1" customHeight="1">
      <c r="B12" s="302" t="s">
        <v>486</v>
      </c>
      <c r="C12" s="130" t="s">
        <v>380</v>
      </c>
      <c r="D12" s="138">
        <v>46295</v>
      </c>
      <c r="E12" s="131"/>
      <c r="F12" s="136"/>
    </row>
    <row r="13" spans="2:8" s="126" customFormat="1" ht="30.95" customHeight="1">
      <c r="B13" s="302"/>
      <c r="C13" s="131"/>
      <c r="D13" s="131"/>
      <c r="E13" s="131"/>
      <c r="F13" s="136"/>
    </row>
    <row r="14" spans="2:8" ht="39.950000000000003" customHeight="1">
      <c r="B14" s="302"/>
      <c r="C14" s="131"/>
      <c r="D14" s="131"/>
      <c r="E14" s="131"/>
      <c r="F14" s="136"/>
    </row>
    <row r="15" spans="2:8" ht="39.950000000000003" customHeight="1">
      <c r="B15" s="30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268</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208" priority="1" stopIfTrue="1">
      <formula>IF($E31="NA",TRUE,FALSE)</formula>
    </cfRule>
  </conditionalFormatting>
  <dataValidations count="3">
    <dataValidation type="list" allowBlank="1" showInputMessage="1" showErrorMessage="1" sqref="E31" xr:uid="{00000000-0002-0000-0B00-000000000000}">
      <formula1>"Yes,No,NA"</formula1>
    </dataValidation>
    <dataValidation type="list" allowBlank="1" showInputMessage="1" showErrorMessage="1" sqref="E17" xr:uid="{00000000-0002-0000-0B00-000001000000}">
      <formula1>"Yes,No"</formula1>
    </dataValidation>
    <dataValidation type="list" allowBlank="1" showInputMessage="1" showErrorMessage="1" sqref="E5:E6 E20:E21 E34:E35" xr:uid="{00000000-0002-0000-0B00-000002000000}">
      <formula1>"Yes,No,Cured in Moment"</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9" tint="-0.499984740745262"/>
  </sheetPr>
  <dimension ref="B1:BF56"/>
  <sheetViews>
    <sheetView topLeftCell="B42" zoomScale="60" zoomScaleNormal="60" workbookViewId="0">
      <selection activeCell="G49" sqref="G49:K49"/>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57031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42" customHeight="1" thickBot="1">
      <c r="B3" s="210" t="s">
        <v>208</v>
      </c>
      <c r="C3" s="439" t="s">
        <v>322</v>
      </c>
      <c r="D3" s="440"/>
      <c r="E3" s="161"/>
      <c r="G3" s="220"/>
      <c r="H3" s="220"/>
      <c r="I3" s="220"/>
      <c r="J3" s="220"/>
    </row>
    <row r="4" spans="2:55" ht="78" customHeight="1" thickBot="1">
      <c r="B4" s="211" t="s">
        <v>275</v>
      </c>
      <c r="C4" s="441" t="s">
        <v>370</v>
      </c>
      <c r="D4" s="442"/>
      <c r="E4" s="150"/>
      <c r="G4" s="186" t="s">
        <v>11</v>
      </c>
      <c r="H4" s="443" t="str">
        <f>IF(COUNTIF(BB6,"0")&gt;0,"PASA","NO PASA")</f>
        <v>PASA</v>
      </c>
      <c r="I4" s="444"/>
      <c r="J4" s="445"/>
      <c r="BA4" s="221" t="s">
        <v>174</v>
      </c>
      <c r="BB4" s="123">
        <f>COUNTIF(E17:F23,BA4)</f>
        <v>0</v>
      </c>
      <c r="BC4" s="225" t="s">
        <v>262</v>
      </c>
    </row>
    <row r="5" spans="2:55" ht="42" customHeight="1" thickBot="1">
      <c r="B5" s="236" t="s">
        <v>203</v>
      </c>
      <c r="C5" s="446">
        <v>46274</v>
      </c>
      <c r="D5" s="447"/>
      <c r="G5" s="228" t="s">
        <v>198</v>
      </c>
      <c r="H5" s="185" t="s">
        <v>3</v>
      </c>
      <c r="I5" s="229" t="s">
        <v>4</v>
      </c>
      <c r="J5" s="230" t="s">
        <v>5</v>
      </c>
      <c r="BC5" s="225"/>
    </row>
    <row r="6" spans="2:55" ht="48" customHeight="1" thickBot="1">
      <c r="C6" s="122"/>
      <c r="E6" s="128"/>
      <c r="G6" s="187" t="s">
        <v>254</v>
      </c>
      <c r="H6" s="160">
        <v>31</v>
      </c>
      <c r="I6" s="160">
        <f>SUM(F25:F31)</f>
        <v>21</v>
      </c>
      <c r="J6" s="167">
        <f t="shared" ref="J6:J9" si="0">I6/H6</f>
        <v>0.67741935483870963</v>
      </c>
      <c r="BA6" s="221" t="s">
        <v>193</v>
      </c>
      <c r="BB6" s="123">
        <f>COUNTIF(E17:F23,BA6)</f>
        <v>0</v>
      </c>
      <c r="BC6" s="225" t="s">
        <v>263</v>
      </c>
    </row>
    <row r="7" spans="2:55" ht="48" customHeight="1" thickBot="1">
      <c r="B7" s="448" t="s">
        <v>243</v>
      </c>
      <c r="C7" s="451" t="s">
        <v>252</v>
      </c>
      <c r="D7" s="452"/>
      <c r="E7" s="164"/>
      <c r="G7" s="168" t="s">
        <v>199</v>
      </c>
      <c r="H7" s="169">
        <v>18</v>
      </c>
      <c r="I7" s="169">
        <f>SUM(F32:F35)</f>
        <v>12</v>
      </c>
      <c r="J7" s="170">
        <f t="shared" si="0"/>
        <v>0.66666666666666663</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12</v>
      </c>
      <c r="J10" s="171">
        <f>I10/H10</f>
        <v>0.92307692307692313</v>
      </c>
    </row>
    <row r="11" spans="2:55" ht="48" customHeight="1" thickBot="1">
      <c r="B11" s="210" t="s">
        <v>248</v>
      </c>
      <c r="C11" s="457" t="s">
        <v>251</v>
      </c>
      <c r="D11" s="458"/>
      <c r="E11" s="128"/>
      <c r="G11" s="168" t="s">
        <v>256</v>
      </c>
      <c r="H11" s="169">
        <v>5</v>
      </c>
      <c r="I11" s="169">
        <f>SUM(F49:F53)</f>
        <v>5</v>
      </c>
      <c r="J11" s="170">
        <f t="shared" ref="J11:J12" si="1">I11/H11</f>
        <v>1</v>
      </c>
    </row>
    <row r="12" spans="2:55" ht="72.75" customHeight="1" thickBot="1">
      <c r="B12" s="219" t="s">
        <v>244</v>
      </c>
      <c r="C12" s="459" t="s">
        <v>246</v>
      </c>
      <c r="D12" s="460"/>
      <c r="E12" s="166"/>
      <c r="G12" s="198" t="s">
        <v>271</v>
      </c>
      <c r="H12" s="199">
        <f>SUM(H6:H11)</f>
        <v>117</v>
      </c>
      <c r="I12" s="199">
        <f>SUM(I6:I11)</f>
        <v>99</v>
      </c>
      <c r="J12" s="200">
        <f t="shared" si="1"/>
        <v>0.84615384615384615</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0.84615384615384615</v>
      </c>
      <c r="J14" s="436"/>
    </row>
    <row r="15" spans="2:55" ht="41.1" customHeight="1" thickBot="1"/>
    <row r="16" spans="2:55" ht="45.95" customHeight="1" thickBot="1">
      <c r="B16" s="465" t="s">
        <v>11</v>
      </c>
      <c r="C16" s="466"/>
      <c r="D16" s="466"/>
      <c r="E16" s="465" t="s">
        <v>195</v>
      </c>
      <c r="F16" s="467"/>
      <c r="G16" s="465"/>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G20" s="491"/>
      <c r="H20" s="492"/>
      <c r="I20" s="492"/>
      <c r="J20" s="492"/>
      <c r="K20" s="493"/>
      <c r="V20" s="122"/>
      <c r="AY20" s="172" t="str">
        <f t="shared" si="2"/>
        <v>Yes</v>
      </c>
      <c r="BA20" s="222"/>
      <c r="BB20" s="122"/>
      <c r="BC20" s="122"/>
    </row>
    <row r="21" spans="2:58" s="172" customFormat="1" ht="45.95" customHeight="1">
      <c r="B21" s="449"/>
      <c r="C21" s="214">
        <v>5</v>
      </c>
      <c r="D21" s="215" t="s">
        <v>213</v>
      </c>
      <c r="E21" s="478" t="s">
        <v>266</v>
      </c>
      <c r="F21" s="479"/>
      <c r="G21" s="475"/>
      <c r="H21" s="476"/>
      <c r="I21" s="476"/>
      <c r="J21" s="476"/>
      <c r="K21" s="477"/>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193</v>
      </c>
      <c r="F25" s="176">
        <f>IF(E25="Yes",5,0)</f>
        <v>0</v>
      </c>
      <c r="G25" s="580" t="s">
        <v>399</v>
      </c>
      <c r="H25" s="581"/>
      <c r="I25" s="581"/>
      <c r="J25" s="581"/>
      <c r="K25" s="582"/>
    </row>
    <row r="26" spans="2:58" ht="59.25" customHeight="1">
      <c r="B26" s="449"/>
      <c r="C26" s="127">
        <v>2</v>
      </c>
      <c r="D26" s="192" t="s">
        <v>219</v>
      </c>
      <c r="E26" s="140" t="s">
        <v>193</v>
      </c>
      <c r="F26" s="135">
        <f>IF(E26="Yes",5,0)</f>
        <v>0</v>
      </c>
      <c r="G26" s="500" t="s">
        <v>400</v>
      </c>
      <c r="H26" s="501"/>
      <c r="I26" s="501"/>
      <c r="J26" s="501"/>
      <c r="K26" s="502"/>
    </row>
    <row r="27" spans="2:58" ht="45.95" customHeight="1">
      <c r="B27" s="449"/>
      <c r="C27" s="143">
        <v>3</v>
      </c>
      <c r="D27" s="193" t="s">
        <v>216</v>
      </c>
      <c r="E27" s="177" t="s">
        <v>266</v>
      </c>
      <c r="F27" s="178">
        <f>IF(E27="Yes",5,0)</f>
        <v>5</v>
      </c>
      <c r="G27" s="503"/>
      <c r="H27" s="504"/>
      <c r="I27" s="504"/>
      <c r="J27" s="504"/>
      <c r="K27" s="505"/>
    </row>
    <row r="28" spans="2:58" ht="61.5" customHeight="1">
      <c r="B28" s="449"/>
      <c r="C28" s="127">
        <v>4</v>
      </c>
      <c r="D28" s="192" t="s">
        <v>217</v>
      </c>
      <c r="E28" s="140" t="s">
        <v>266</v>
      </c>
      <c r="F28" s="135">
        <f t="shared" ref="F28:F32" si="3">IF(E28="Yes",1,0)</f>
        <v>1</v>
      </c>
      <c r="G28" s="500"/>
      <c r="H28" s="501"/>
      <c r="I28" s="501"/>
      <c r="J28" s="501"/>
      <c r="K28" s="502"/>
    </row>
    <row r="29" spans="2:58" ht="50.25" customHeight="1">
      <c r="B29" s="449"/>
      <c r="C29" s="151">
        <v>5</v>
      </c>
      <c r="D29" s="193" t="s">
        <v>218</v>
      </c>
      <c r="E29" s="177" t="s">
        <v>266</v>
      </c>
      <c r="F29" s="178">
        <f t="shared" si="3"/>
        <v>1</v>
      </c>
      <c r="G29" s="570"/>
      <c r="H29" s="571"/>
      <c r="I29" s="571"/>
      <c r="J29" s="571"/>
      <c r="K29" s="572"/>
    </row>
    <row r="30" spans="2:58" ht="47.25" customHeight="1">
      <c r="B30" s="449"/>
      <c r="C30" s="131">
        <v>6</v>
      </c>
      <c r="D30" s="192" t="s">
        <v>220</v>
      </c>
      <c r="E30" s="140" t="s">
        <v>266</v>
      </c>
      <c r="F30" s="135">
        <f>IF(E30="Yes",7,0)</f>
        <v>7</v>
      </c>
      <c r="G30" s="491"/>
      <c r="H30" s="492"/>
      <c r="I30" s="492"/>
      <c r="J30" s="492"/>
      <c r="K30" s="493"/>
    </row>
    <row r="31" spans="2:58" ht="48.75" customHeight="1" thickBot="1">
      <c r="B31" s="450"/>
      <c r="C31" s="158">
        <v>7</v>
      </c>
      <c r="D31" s="194" t="s">
        <v>221</v>
      </c>
      <c r="E31" s="179" t="s">
        <v>266</v>
      </c>
      <c r="F31" s="180">
        <f>IF(E31="Yes",7,0)</f>
        <v>7</v>
      </c>
      <c r="G31" s="545"/>
      <c r="H31" s="546"/>
      <c r="I31" s="546"/>
      <c r="J31" s="546"/>
      <c r="K31" s="562"/>
    </row>
    <row r="32" spans="2:58" ht="48.75" customHeight="1">
      <c r="B32" s="448" t="s">
        <v>257</v>
      </c>
      <c r="C32" s="227">
        <v>1</v>
      </c>
      <c r="D32" s="206" t="s">
        <v>222</v>
      </c>
      <c r="E32" s="181" t="s">
        <v>193</v>
      </c>
      <c r="F32" s="182">
        <f t="shared" si="3"/>
        <v>0</v>
      </c>
      <c r="G32" s="573" t="s">
        <v>401</v>
      </c>
      <c r="H32" s="574"/>
      <c r="I32" s="574"/>
      <c r="J32" s="574"/>
      <c r="K32" s="575"/>
    </row>
    <row r="33" spans="2:11" ht="45.95" customHeight="1">
      <c r="B33" s="449"/>
      <c r="C33" s="143">
        <v>2</v>
      </c>
      <c r="D33" s="203" t="s">
        <v>223</v>
      </c>
      <c r="E33" s="177" t="s">
        <v>266</v>
      </c>
      <c r="F33" s="178">
        <f>IF(E33="Yes",5,0)</f>
        <v>5</v>
      </c>
      <c r="G33" s="503"/>
      <c r="H33" s="504"/>
      <c r="I33" s="504"/>
      <c r="J33" s="504"/>
      <c r="K33" s="505"/>
    </row>
    <row r="34" spans="2:11" ht="45.95" customHeight="1">
      <c r="B34" s="449"/>
      <c r="C34" s="131">
        <v>3</v>
      </c>
      <c r="D34" s="202" t="s">
        <v>224</v>
      </c>
      <c r="E34" s="140" t="s">
        <v>193</v>
      </c>
      <c r="F34" s="135">
        <f>IF(E34="Yes",5,0)</f>
        <v>0</v>
      </c>
      <c r="G34" s="566" t="s">
        <v>402</v>
      </c>
      <c r="H34" s="567"/>
      <c r="I34" s="567"/>
      <c r="J34" s="567"/>
      <c r="K34" s="568"/>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509"/>
      <c r="H37" s="510"/>
      <c r="I37" s="510"/>
      <c r="J37" s="510"/>
      <c r="K37" s="511"/>
    </row>
    <row r="38" spans="2:11" ht="50.25" customHeight="1">
      <c r="B38" s="449"/>
      <c r="C38" s="127">
        <v>3</v>
      </c>
      <c r="D38" s="202" t="s">
        <v>228</v>
      </c>
      <c r="E38" s="140" t="s">
        <v>315</v>
      </c>
      <c r="F38" s="135">
        <f>IF(OR(E38="Yes",E38="NA"),7,0)</f>
        <v>7</v>
      </c>
      <c r="G38" s="491"/>
      <c r="H38" s="492"/>
      <c r="I38" s="492"/>
      <c r="J38" s="492"/>
      <c r="K38" s="493"/>
    </row>
    <row r="39" spans="2:11" ht="68.25" customHeight="1">
      <c r="B39" s="449"/>
      <c r="C39" s="174">
        <v>4</v>
      </c>
      <c r="D39" s="203" t="s">
        <v>273</v>
      </c>
      <c r="E39" s="177" t="s">
        <v>266</v>
      </c>
      <c r="F39" s="178">
        <f>IF(OR(E39="Yes",E39="NA"),7,0)</f>
        <v>7</v>
      </c>
      <c r="G39" s="195"/>
      <c r="H39" s="196"/>
      <c r="I39" s="196"/>
      <c r="J39" s="196"/>
      <c r="K39" s="197"/>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518"/>
      <c r="H41" s="519"/>
      <c r="I41" s="519"/>
      <c r="J41" s="519"/>
      <c r="K41" s="520"/>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193</v>
      </c>
      <c r="F44" s="135">
        <f>IF(E44="Yes",1,0)</f>
        <v>0</v>
      </c>
      <c r="G44" s="566" t="s">
        <v>403</v>
      </c>
      <c r="H44" s="567"/>
      <c r="I44" s="567"/>
      <c r="J44" s="567"/>
      <c r="K44" s="568"/>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193</v>
      </c>
      <c r="F48" s="137">
        <f>IF(E48="Yes",1,0)</f>
        <v>0</v>
      </c>
      <c r="G48" s="583" t="s">
        <v>404</v>
      </c>
      <c r="H48" s="584"/>
      <c r="I48" s="584"/>
      <c r="J48" s="584"/>
      <c r="K48" s="585"/>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315</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266</v>
      </c>
      <c r="F53" s="190">
        <f>IF(E53="Yes",1,0)</f>
        <v>1</v>
      </c>
      <c r="G53" s="503"/>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8">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K41"/>
    <mergeCell ref="G37:K37"/>
    <mergeCell ref="G23:K23"/>
    <mergeCell ref="G29:K29"/>
    <mergeCell ref="B36:B40"/>
    <mergeCell ref="G36:K36"/>
    <mergeCell ref="G38:K38"/>
    <mergeCell ref="G40:K40"/>
    <mergeCell ref="B24:D24"/>
    <mergeCell ref="G24:K24"/>
    <mergeCell ref="B25:B31"/>
    <mergeCell ref="G25:K25"/>
    <mergeCell ref="G26:K26"/>
    <mergeCell ref="G27:K27"/>
    <mergeCell ref="G28:K28"/>
    <mergeCell ref="G31:K31"/>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0:K20"/>
    <mergeCell ref="G30:K30"/>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207" priority="9" operator="notContains" text="YES">
      <formula>ISERROR(SEARCH("YES",E17))</formula>
    </cfRule>
  </conditionalFormatting>
  <conditionalFormatting sqref="E43:E53">
    <cfRule type="containsText" dxfId="206" priority="7" operator="containsText" text="No">
      <formula>NOT(ISERROR(SEARCH("No",E43)))</formula>
    </cfRule>
  </conditionalFormatting>
  <conditionalFormatting sqref="E25:F42">
    <cfRule type="containsText" dxfId="205" priority="8" operator="containsText" text="No">
      <formula>NOT(ISERROR(SEARCH("No",E25)))</formula>
    </cfRule>
  </conditionalFormatting>
  <conditionalFormatting sqref="H4:J4">
    <cfRule type="cellIs" dxfId="204" priority="1" operator="equal">
      <formula>"NO PASA"</formula>
    </cfRule>
    <cfRule type="cellIs" dxfId="203" priority="2" operator="equal">
      <formula>"NO PASA"</formula>
    </cfRule>
    <cfRule type="cellIs" dxfId="202" priority="3" operator="equal">
      <formula>"PASA"</formula>
    </cfRule>
    <cfRule type="cellIs" dxfId="201" priority="4" operator="equal">
      <formula>"PASA"</formula>
    </cfRule>
    <cfRule type="cellIs" dxfId="200" priority="5" operator="equal">
      <formula>"NO PASA"</formula>
    </cfRule>
    <cfRule type="containsText" dxfId="199" priority="6" operator="containsText" text="PASA">
      <formula>NOT(ISERROR(SEARCH("PASA",H4)))</formula>
    </cfRule>
    <cfRule type="cellIs" dxfId="198" priority="13" operator="equal">
      <formula>$BC$7</formula>
    </cfRule>
    <cfRule type="cellIs" dxfId="197" priority="14" operator="equal">
      <formula>$BC$6</formula>
    </cfRule>
    <cfRule type="cellIs" dxfId="196" priority="15" operator="equal">
      <formula>$BC$4</formula>
    </cfRule>
  </conditionalFormatting>
  <conditionalFormatting sqref="I14">
    <cfRule type="cellIs" dxfId="195" priority="10" operator="greaterThanOrEqual">
      <formula>0.9</formula>
    </cfRule>
    <cfRule type="cellIs" dxfId="194" priority="11" operator="between">
      <formula>0.71</formula>
      <formula>0.9</formula>
    </cfRule>
    <cfRule type="cellIs" dxfId="193" priority="12" operator="lessThan">
      <formula>0.71</formula>
    </cfRule>
  </conditionalFormatting>
  <dataValidations count="3">
    <dataValidation type="list" allowBlank="1" showInputMessage="1" showErrorMessage="1" sqref="E38:E39 E50:E51" xr:uid="{00000000-0002-0000-0C00-000000000000}">
      <formula1>"Yes,No,NA"</formula1>
    </dataValidation>
    <dataValidation type="list" allowBlank="1" showInputMessage="1" showErrorMessage="1" sqref="E52:E53 E25:E37 E40:E49" xr:uid="{00000000-0002-0000-0C00-000001000000}">
      <formula1>"Yes,No"</formula1>
    </dataValidation>
    <dataValidation type="list" allowBlank="1" showInputMessage="1" showErrorMessage="1" sqref="E17:E23" xr:uid="{00000000-0002-0000-0C00-000002000000}">
      <formula1>"Yes,No,Cured in Moment"</formula1>
    </dataValidation>
  </dataValidation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499984740745262"/>
  </sheetPr>
  <dimension ref="B1:H103"/>
  <sheetViews>
    <sheetView zoomScale="60" zoomScaleNormal="60" workbookViewId="0">
      <selection activeCell="E14" sqref="E14"/>
    </sheetView>
  </sheetViews>
  <sheetFormatPr baseColWidth="10" defaultColWidth="8.85546875" defaultRowHeight="18"/>
  <cols>
    <col min="1" max="1" width="4.42578125" style="124" customWidth="1"/>
    <col min="2" max="2" width="51.28515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92.25" customHeight="1">
      <c r="B7" s="312" t="s">
        <v>405</v>
      </c>
      <c r="C7" s="312" t="s">
        <v>406</v>
      </c>
      <c r="D7" s="313">
        <v>46277</v>
      </c>
      <c r="E7" s="130"/>
      <c r="F7" s="134"/>
    </row>
    <row r="8" spans="2:8" ht="101.25" customHeight="1">
      <c r="B8" s="314" t="s">
        <v>407</v>
      </c>
      <c r="C8" s="312" t="s">
        <v>406</v>
      </c>
      <c r="D8" s="313">
        <v>46277</v>
      </c>
      <c r="E8" s="127"/>
      <c r="F8" s="135"/>
    </row>
    <row r="9" spans="2:8" ht="87.75" customHeight="1">
      <c r="B9" s="314" t="s">
        <v>408</v>
      </c>
      <c r="C9" s="312" t="s">
        <v>406</v>
      </c>
      <c r="D9" s="313">
        <v>46277</v>
      </c>
      <c r="E9" s="127"/>
      <c r="F9" s="136"/>
    </row>
    <row r="10" spans="2:8" ht="60.75" customHeight="1">
      <c r="B10" s="315" t="s">
        <v>409</v>
      </c>
      <c r="C10" s="312" t="s">
        <v>406</v>
      </c>
      <c r="D10" s="313">
        <v>46277</v>
      </c>
      <c r="E10" s="131"/>
      <c r="F10" s="136"/>
    </row>
    <row r="11" spans="2:8" ht="102.75" customHeight="1">
      <c r="B11" s="315" t="s">
        <v>410</v>
      </c>
      <c r="C11" s="312" t="s">
        <v>406</v>
      </c>
      <c r="D11" s="313">
        <v>46277</v>
      </c>
      <c r="E11" s="131"/>
      <c r="F11" s="136"/>
    </row>
    <row r="12" spans="2:8" ht="63.75" customHeight="1">
      <c r="B12" s="302"/>
      <c r="C12" s="130"/>
      <c r="D12" s="307"/>
      <c r="E12" s="131"/>
      <c r="F12" s="136"/>
    </row>
    <row r="13" spans="2:8" s="126" customFormat="1" ht="60.75" customHeight="1">
      <c r="B13" s="302"/>
      <c r="C13" s="130"/>
      <c r="D13" s="310"/>
      <c r="E13" s="131"/>
      <c r="F13" s="136"/>
    </row>
    <row r="14" spans="2:8" ht="39.950000000000003" customHeight="1">
      <c r="B14" s="302"/>
      <c r="C14" s="131"/>
      <c r="D14" s="131"/>
      <c r="E14" s="131"/>
      <c r="F14" s="136"/>
    </row>
    <row r="15" spans="2:8" ht="39.950000000000003" customHeight="1">
      <c r="B15" s="30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268</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192" priority="1" stopIfTrue="1">
      <formula>IF($E31="NA",TRUE,FALSE)</formula>
    </cfRule>
  </conditionalFormatting>
  <dataValidations count="3">
    <dataValidation type="list" allowBlank="1" showInputMessage="1" showErrorMessage="1" sqref="E31" xr:uid="{00000000-0002-0000-0D00-000000000000}">
      <formula1>"Yes,No,NA"</formula1>
    </dataValidation>
    <dataValidation type="list" allowBlank="1" showInputMessage="1" showErrorMessage="1" sqref="E17" xr:uid="{00000000-0002-0000-0D00-000001000000}">
      <formula1>"Yes,No"</formula1>
    </dataValidation>
    <dataValidation type="list" allowBlank="1" showInputMessage="1" showErrorMessage="1" sqref="E5:E6 E20:E21 E34:E35" xr:uid="{00000000-0002-0000-0D00-000002000000}">
      <formula1>"Yes,No,Cured in Moment"</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BF452D"/>
  </sheetPr>
  <dimension ref="B1:BF56"/>
  <sheetViews>
    <sheetView topLeftCell="A48" zoomScale="60" zoomScaleNormal="60" workbookViewId="0">
      <selection activeCell="F57" sqref="F57"/>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57031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42" customHeight="1" thickBot="1">
      <c r="B3" s="210" t="s">
        <v>208</v>
      </c>
      <c r="C3" s="439" t="s">
        <v>323</v>
      </c>
      <c r="D3" s="440"/>
      <c r="E3" s="161"/>
      <c r="G3" s="220"/>
      <c r="H3" s="220"/>
      <c r="I3" s="220"/>
      <c r="J3" s="220"/>
    </row>
    <row r="4" spans="2:55" ht="74.25" customHeight="1" thickBot="1">
      <c r="B4" s="211" t="s">
        <v>275</v>
      </c>
      <c r="C4" s="441" t="s">
        <v>368</v>
      </c>
      <c r="D4" s="442"/>
      <c r="E4" s="150"/>
      <c r="G4" s="186" t="s">
        <v>11</v>
      </c>
      <c r="H4" s="443" t="str">
        <f>IF(COUNTIF(BB6,"0")&gt;0,"PASA","NO PASA")</f>
        <v>PASA</v>
      </c>
      <c r="I4" s="444"/>
      <c r="J4" s="445"/>
      <c r="BA4" s="221" t="s">
        <v>174</v>
      </c>
      <c r="BB4" s="123">
        <f>COUNTIF(E17:F23,BA4)</f>
        <v>0</v>
      </c>
      <c r="BC4" s="225" t="s">
        <v>262</v>
      </c>
    </row>
    <row r="5" spans="2:55" ht="45.75" customHeight="1" thickBot="1">
      <c r="B5" s="236" t="s">
        <v>203</v>
      </c>
      <c r="C5" s="446">
        <v>46273</v>
      </c>
      <c r="D5" s="447"/>
      <c r="G5" s="228" t="s">
        <v>198</v>
      </c>
      <c r="H5" s="185" t="s">
        <v>3</v>
      </c>
      <c r="I5" s="229" t="s">
        <v>4</v>
      </c>
      <c r="J5" s="230" t="s">
        <v>5</v>
      </c>
      <c r="BC5" s="225"/>
    </row>
    <row r="6" spans="2:55" ht="48" customHeight="1" thickBot="1">
      <c r="C6" s="122"/>
      <c r="E6" s="128"/>
      <c r="G6" s="187" t="s">
        <v>254</v>
      </c>
      <c r="H6" s="160">
        <v>31</v>
      </c>
      <c r="I6" s="160">
        <f>SUM(F25:F31)</f>
        <v>23</v>
      </c>
      <c r="J6" s="167">
        <f t="shared" ref="J6:J9" si="0">I6/H6</f>
        <v>0.74193548387096775</v>
      </c>
      <c r="BA6" s="221" t="s">
        <v>193</v>
      </c>
      <c r="BB6" s="123">
        <f>COUNTIF(E17:F23,BA6)</f>
        <v>0</v>
      </c>
      <c r="BC6" s="225" t="s">
        <v>263</v>
      </c>
    </row>
    <row r="7" spans="2:55" ht="48" customHeight="1" thickBot="1">
      <c r="B7" s="448" t="s">
        <v>243</v>
      </c>
      <c r="C7" s="451" t="s">
        <v>252</v>
      </c>
      <c r="D7" s="452"/>
      <c r="E7" s="164"/>
      <c r="G7" s="168" t="s">
        <v>199</v>
      </c>
      <c r="H7" s="169">
        <v>18</v>
      </c>
      <c r="I7" s="169">
        <f>SUM(F32:F35)</f>
        <v>17</v>
      </c>
      <c r="J7" s="170">
        <f t="shared" si="0"/>
        <v>0.94444444444444442</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12</v>
      </c>
      <c r="J10" s="171">
        <f>I10/H10</f>
        <v>0.92307692307692313</v>
      </c>
    </row>
    <row r="11" spans="2:55" ht="48" customHeight="1" thickBot="1">
      <c r="B11" s="210" t="s">
        <v>248</v>
      </c>
      <c r="C11" s="457" t="s">
        <v>251</v>
      </c>
      <c r="D11" s="458"/>
      <c r="E11" s="128"/>
      <c r="G11" s="168" t="s">
        <v>256</v>
      </c>
      <c r="H11" s="169">
        <v>5</v>
      </c>
      <c r="I11" s="169">
        <f>SUM(F49:F53)</f>
        <v>4</v>
      </c>
      <c r="J11" s="170">
        <f t="shared" ref="J11:J12" si="1">I11/H11</f>
        <v>0.8</v>
      </c>
    </row>
    <row r="12" spans="2:55" ht="72.75" customHeight="1" thickBot="1">
      <c r="B12" s="219" t="s">
        <v>244</v>
      </c>
      <c r="C12" s="459" t="s">
        <v>246</v>
      </c>
      <c r="D12" s="460"/>
      <c r="E12" s="166"/>
      <c r="G12" s="198" t="s">
        <v>271</v>
      </c>
      <c r="H12" s="199">
        <f>SUM(H6:H11)</f>
        <v>117</v>
      </c>
      <c r="I12" s="199">
        <f>SUM(I6:I11)</f>
        <v>105</v>
      </c>
      <c r="J12" s="200">
        <f t="shared" si="1"/>
        <v>0.89743589743589747</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0.89743589743589747</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K20" s="173"/>
      <c r="V20" s="122"/>
      <c r="AY20" s="172" t="str">
        <f t="shared" si="2"/>
        <v>Yes</v>
      </c>
      <c r="BA20" s="222"/>
      <c r="BB20" s="122"/>
      <c r="BC20" s="122"/>
    </row>
    <row r="21" spans="2:58" s="172" customFormat="1" ht="45.95" customHeight="1">
      <c r="B21" s="449"/>
      <c r="C21" s="214">
        <v>5</v>
      </c>
      <c r="D21" s="215" t="s">
        <v>213</v>
      </c>
      <c r="E21" s="478" t="s">
        <v>266</v>
      </c>
      <c r="F21" s="479"/>
      <c r="G21" s="475"/>
      <c r="H21" s="476"/>
      <c r="I21" s="476"/>
      <c r="J21" s="476"/>
      <c r="K21" s="477"/>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497"/>
      <c r="H25" s="498"/>
      <c r="I25" s="498"/>
      <c r="J25" s="498"/>
      <c r="K25" s="499"/>
    </row>
    <row r="26" spans="2:58" ht="75.75" customHeight="1">
      <c r="B26" s="449"/>
      <c r="C26" s="127">
        <v>2</v>
      </c>
      <c r="D26" s="192" t="s">
        <v>219</v>
      </c>
      <c r="E26" s="140" t="s">
        <v>266</v>
      </c>
      <c r="F26" s="135">
        <f>IF(E26="Yes",5,0)</f>
        <v>5</v>
      </c>
      <c r="G26" s="500"/>
      <c r="H26" s="501"/>
      <c r="I26" s="501"/>
      <c r="J26" s="501"/>
      <c r="K26" s="502"/>
    </row>
    <row r="27" spans="2:58" ht="60.75" customHeight="1">
      <c r="B27" s="449"/>
      <c r="C27" s="143">
        <v>3</v>
      </c>
      <c r="D27" s="193" t="s">
        <v>216</v>
      </c>
      <c r="E27" s="177" t="s">
        <v>266</v>
      </c>
      <c r="F27" s="178">
        <f>IF(E27="Yes",5,0)</f>
        <v>5</v>
      </c>
      <c r="G27" s="503"/>
      <c r="H27" s="504"/>
      <c r="I27" s="504"/>
      <c r="J27" s="504"/>
      <c r="K27" s="505"/>
    </row>
    <row r="28" spans="2:58" ht="51.75" customHeight="1">
      <c r="B28" s="449"/>
      <c r="C28" s="127">
        <v>4</v>
      </c>
      <c r="D28" s="192" t="s">
        <v>217</v>
      </c>
      <c r="E28" s="140" t="s">
        <v>193</v>
      </c>
      <c r="F28" s="135">
        <f t="shared" ref="F28:F32" si="3">IF(E28="Yes",1,0)</f>
        <v>0</v>
      </c>
      <c r="G28" s="500" t="s">
        <v>464</v>
      </c>
      <c r="H28" s="501"/>
      <c r="I28" s="501"/>
      <c r="J28" s="501"/>
      <c r="K28" s="502"/>
    </row>
    <row r="29" spans="2:58" ht="50.25" customHeight="1">
      <c r="B29" s="449"/>
      <c r="C29" s="151">
        <v>5</v>
      </c>
      <c r="D29" s="193" t="s">
        <v>218</v>
      </c>
      <c r="E29" s="177" t="s">
        <v>266</v>
      </c>
      <c r="F29" s="178">
        <f t="shared" si="3"/>
        <v>1</v>
      </c>
      <c r="G29" s="509"/>
      <c r="H29" s="510"/>
      <c r="I29" s="510"/>
      <c r="J29" s="510"/>
      <c r="K29" s="511"/>
    </row>
    <row r="30" spans="2:58" ht="47.25" customHeight="1">
      <c r="B30" s="449"/>
      <c r="C30" s="131">
        <v>6</v>
      </c>
      <c r="D30" s="192" t="s">
        <v>220</v>
      </c>
      <c r="E30" s="140" t="s">
        <v>193</v>
      </c>
      <c r="F30" s="135">
        <f>IF(E30="Yes",7,0)</f>
        <v>0</v>
      </c>
      <c r="G30" s="500" t="s">
        <v>467</v>
      </c>
      <c r="H30" s="501"/>
      <c r="I30" s="501"/>
      <c r="J30" s="501"/>
      <c r="K30" s="502"/>
    </row>
    <row r="31" spans="2:58" ht="48.75" customHeight="1" thickBot="1">
      <c r="B31" s="450"/>
      <c r="C31" s="158">
        <v>7</v>
      </c>
      <c r="D31" s="194" t="s">
        <v>221</v>
      </c>
      <c r="E31" s="179" t="s">
        <v>266</v>
      </c>
      <c r="F31" s="180">
        <f>IF(E31="Yes",7,0)</f>
        <v>7</v>
      </c>
      <c r="G31" s="155"/>
      <c r="H31" s="156"/>
      <c r="I31" s="156"/>
      <c r="J31" s="156"/>
      <c r="K31" s="157"/>
    </row>
    <row r="32" spans="2:58" ht="62.25" customHeight="1">
      <c r="B32" s="448" t="s">
        <v>257</v>
      </c>
      <c r="C32" s="227">
        <v>1</v>
      </c>
      <c r="D32" s="206" t="s">
        <v>222</v>
      </c>
      <c r="E32" s="181" t="s">
        <v>193</v>
      </c>
      <c r="F32" s="182">
        <f t="shared" si="3"/>
        <v>0</v>
      </c>
      <c r="G32" s="512" t="s">
        <v>463</v>
      </c>
      <c r="H32" s="513"/>
      <c r="I32" s="513"/>
      <c r="J32" s="513"/>
      <c r="K32" s="514"/>
    </row>
    <row r="33" spans="2:11" ht="45.95" customHeight="1">
      <c r="B33" s="449"/>
      <c r="C33" s="143">
        <v>2</v>
      </c>
      <c r="D33" s="203" t="s">
        <v>223</v>
      </c>
      <c r="E33" s="177" t="s">
        <v>266</v>
      </c>
      <c r="F33" s="178">
        <f>IF(E33="Yes",5,0)</f>
        <v>5</v>
      </c>
      <c r="G33" s="503"/>
      <c r="H33" s="504"/>
      <c r="I33" s="504"/>
      <c r="J33" s="504"/>
      <c r="K33" s="505"/>
    </row>
    <row r="34" spans="2:11" ht="45.95" customHeight="1">
      <c r="B34" s="449"/>
      <c r="C34" s="131">
        <v>3</v>
      </c>
      <c r="D34" s="202" t="s">
        <v>224</v>
      </c>
      <c r="E34" s="140" t="s">
        <v>266</v>
      </c>
      <c r="F34" s="135">
        <f>IF(E34="Yes",5,0)</f>
        <v>5</v>
      </c>
      <c r="G34" s="500"/>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195"/>
      <c r="H37" s="196"/>
      <c r="I37" s="196"/>
      <c r="J37" s="196"/>
      <c r="K37" s="197"/>
    </row>
    <row r="38" spans="2:11" ht="50.25" customHeight="1">
      <c r="B38" s="449"/>
      <c r="C38" s="127">
        <v>3</v>
      </c>
      <c r="D38" s="202" t="s">
        <v>228</v>
      </c>
      <c r="E38" s="140" t="s">
        <v>315</v>
      </c>
      <c r="F38" s="135">
        <f>IF(OR(E38="Yes",E38="NA"),7,0)</f>
        <v>7</v>
      </c>
      <c r="G38" s="491"/>
      <c r="H38" s="492"/>
      <c r="I38" s="492"/>
      <c r="J38" s="492"/>
      <c r="K38" s="493"/>
    </row>
    <row r="39" spans="2:11" ht="68.25" customHeight="1">
      <c r="B39" s="449"/>
      <c r="C39" s="174">
        <v>4</v>
      </c>
      <c r="D39" s="203" t="s">
        <v>273</v>
      </c>
      <c r="E39" s="177" t="s">
        <v>266</v>
      </c>
      <c r="F39" s="178">
        <f>IF(OR(E39="Yes",E39="NA"),7,0)</f>
        <v>7</v>
      </c>
      <c r="G39" s="195"/>
      <c r="H39" s="196"/>
      <c r="I39" s="196"/>
      <c r="J39" s="196"/>
      <c r="K39" s="197"/>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518"/>
      <c r="H41" s="519"/>
      <c r="I41" s="519"/>
      <c r="J41" s="519"/>
      <c r="K41" s="520"/>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71.25" customHeight="1">
      <c r="B44" s="449"/>
      <c r="C44" s="127">
        <v>4</v>
      </c>
      <c r="D44" s="202" t="s">
        <v>235</v>
      </c>
      <c r="E44" s="140" t="s">
        <v>193</v>
      </c>
      <c r="F44" s="135">
        <f>IF(E44="Yes",1,0)</f>
        <v>0</v>
      </c>
      <c r="G44" s="500" t="s">
        <v>465</v>
      </c>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72.75" customHeight="1" thickBot="1">
      <c r="B48" s="450"/>
      <c r="C48" s="132">
        <v>3</v>
      </c>
      <c r="D48" s="205" t="s">
        <v>231</v>
      </c>
      <c r="E48" s="142" t="s">
        <v>193</v>
      </c>
      <c r="F48" s="137">
        <f>IF(E48="Yes",1,0)</f>
        <v>0</v>
      </c>
      <c r="G48" s="494" t="s">
        <v>468</v>
      </c>
      <c r="H48" s="495"/>
      <c r="I48" s="495"/>
      <c r="J48" s="495"/>
      <c r="K48" s="496"/>
    </row>
    <row r="49" spans="2:11" ht="76.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315</v>
      </c>
      <c r="F50" s="135">
        <f>IF(OR(E50="Yes",E50="NA"),1,0)</f>
        <v>1</v>
      </c>
      <c r="G50" s="500"/>
      <c r="H50" s="501"/>
      <c r="I50" s="501"/>
      <c r="J50" s="501"/>
      <c r="K50" s="502"/>
    </row>
    <row r="51" spans="2:11" ht="66" customHeight="1">
      <c r="B51" s="449"/>
      <c r="C51" s="143">
        <v>3</v>
      </c>
      <c r="D51" s="203" t="s">
        <v>233</v>
      </c>
      <c r="E51" s="177" t="s">
        <v>266</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193</v>
      </c>
      <c r="F53" s="190">
        <f>IF(E53="Yes",1,0)</f>
        <v>0</v>
      </c>
      <c r="G53" s="503" t="s">
        <v>466</v>
      </c>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K41"/>
    <mergeCell ref="G23:K23"/>
    <mergeCell ref="B36:B40"/>
    <mergeCell ref="G36:K36"/>
    <mergeCell ref="G38:K38"/>
    <mergeCell ref="G40:K40"/>
    <mergeCell ref="B24:D24"/>
    <mergeCell ref="G24:K24"/>
    <mergeCell ref="B25:B31"/>
    <mergeCell ref="G25:K25"/>
    <mergeCell ref="G26:K26"/>
    <mergeCell ref="G27:K27"/>
    <mergeCell ref="G28:K28"/>
    <mergeCell ref="G30:K30"/>
    <mergeCell ref="G29:K29"/>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191" priority="9" operator="notContains" text="YES">
      <formula>ISERROR(SEARCH("YES",E17))</formula>
    </cfRule>
  </conditionalFormatting>
  <conditionalFormatting sqref="E43:E53">
    <cfRule type="containsText" dxfId="190" priority="7" operator="containsText" text="No">
      <formula>NOT(ISERROR(SEARCH("No",E43)))</formula>
    </cfRule>
  </conditionalFormatting>
  <conditionalFormatting sqref="E25:F42">
    <cfRule type="containsText" dxfId="189" priority="8" operator="containsText" text="No">
      <formula>NOT(ISERROR(SEARCH("No",E25)))</formula>
    </cfRule>
  </conditionalFormatting>
  <conditionalFormatting sqref="H4:J4">
    <cfRule type="cellIs" dxfId="188" priority="1" operator="equal">
      <formula>"NO PASA"</formula>
    </cfRule>
    <cfRule type="cellIs" dxfId="187" priority="2" operator="equal">
      <formula>"NO PASA"</formula>
    </cfRule>
    <cfRule type="cellIs" dxfId="186" priority="3" operator="equal">
      <formula>"PASA"</formula>
    </cfRule>
    <cfRule type="cellIs" dxfId="185" priority="4" operator="equal">
      <formula>"PASA"</formula>
    </cfRule>
    <cfRule type="cellIs" dxfId="184" priority="5" operator="equal">
      <formula>"NO PASA"</formula>
    </cfRule>
    <cfRule type="containsText" dxfId="183" priority="6" operator="containsText" text="PASA">
      <formula>NOT(ISERROR(SEARCH("PASA",H4)))</formula>
    </cfRule>
    <cfRule type="cellIs" dxfId="182" priority="13" operator="equal">
      <formula>$BC$7</formula>
    </cfRule>
    <cfRule type="cellIs" dxfId="181" priority="14" operator="equal">
      <formula>$BC$6</formula>
    </cfRule>
    <cfRule type="cellIs" dxfId="180" priority="15" operator="equal">
      <formula>$BC$4</formula>
    </cfRule>
  </conditionalFormatting>
  <conditionalFormatting sqref="I14">
    <cfRule type="cellIs" dxfId="179" priority="10" operator="greaterThanOrEqual">
      <formula>0.9</formula>
    </cfRule>
    <cfRule type="cellIs" dxfId="178" priority="11" operator="between">
      <formula>0.71</formula>
      <formula>0.9</formula>
    </cfRule>
    <cfRule type="cellIs" dxfId="177" priority="12" operator="lessThan">
      <formula>0.71</formula>
    </cfRule>
  </conditionalFormatting>
  <dataValidations count="3">
    <dataValidation type="list" allowBlank="1" showInputMessage="1" showErrorMessage="1" sqref="E38:E39 E50:E51" xr:uid="{00000000-0002-0000-0E00-000000000000}">
      <formula1>"Yes,No,NA"</formula1>
    </dataValidation>
    <dataValidation type="list" allowBlank="1" showInputMessage="1" showErrorMessage="1" sqref="E52:E53 E25:E37 E40:E49" xr:uid="{00000000-0002-0000-0E00-000001000000}">
      <formula1>"Yes,No"</formula1>
    </dataValidation>
    <dataValidation type="list" allowBlank="1" showInputMessage="1" showErrorMessage="1" sqref="E17:E23" xr:uid="{00000000-0002-0000-0E00-000002000000}">
      <formula1>"Yes,No,Cured in Moment"</formula1>
    </dataValidation>
  </dataValidation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BB4033"/>
  </sheetPr>
  <dimension ref="B1:H103"/>
  <sheetViews>
    <sheetView topLeftCell="A5" zoomScale="50" zoomScaleNormal="50" workbookViewId="0">
      <selection activeCell="D11" sqref="D11"/>
    </sheetView>
  </sheetViews>
  <sheetFormatPr baseColWidth="10" defaultColWidth="8.85546875" defaultRowHeight="18"/>
  <cols>
    <col min="1" max="1" width="4.42578125" style="124" customWidth="1"/>
    <col min="2" max="2" width="47"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86.25" customHeight="1">
      <c r="B7" s="299" t="s">
        <v>469</v>
      </c>
      <c r="C7" s="130" t="s">
        <v>381</v>
      </c>
      <c r="D7" s="284">
        <v>46295</v>
      </c>
      <c r="E7" s="130"/>
      <c r="F7" s="134"/>
    </row>
    <row r="8" spans="2:8" ht="112.5" customHeight="1">
      <c r="B8" s="295" t="s">
        <v>470</v>
      </c>
      <c r="C8" s="130" t="s">
        <v>381</v>
      </c>
      <c r="D8" s="284">
        <v>46295</v>
      </c>
      <c r="E8" s="127"/>
      <c r="F8" s="135"/>
    </row>
    <row r="9" spans="2:8" ht="84.75" customHeight="1">
      <c r="B9" s="297" t="s">
        <v>471</v>
      </c>
      <c r="C9" s="130" t="s">
        <v>381</v>
      </c>
      <c r="D9" s="284">
        <v>46295</v>
      </c>
      <c r="E9" s="131"/>
      <c r="F9" s="136"/>
    </row>
    <row r="10" spans="2:8" ht="77.25" customHeight="1">
      <c r="B10" s="297" t="s">
        <v>472</v>
      </c>
      <c r="C10" s="130" t="s">
        <v>381</v>
      </c>
      <c r="D10" s="284">
        <v>46295</v>
      </c>
      <c r="E10" s="131"/>
      <c r="F10" s="136"/>
    </row>
    <row r="11" spans="2:8" ht="65.25" customHeight="1">
      <c r="B11" s="297" t="s">
        <v>473</v>
      </c>
      <c r="C11" s="130" t="s">
        <v>381</v>
      </c>
      <c r="D11" s="284">
        <v>46295</v>
      </c>
      <c r="E11" s="131"/>
      <c r="F11" s="136"/>
    </row>
    <row r="12" spans="2:8" ht="44.1" customHeight="1">
      <c r="B12" s="297"/>
      <c r="C12" s="127"/>
      <c r="D12" s="127"/>
      <c r="E12" s="131"/>
      <c r="F12" s="136"/>
    </row>
    <row r="13" spans="2:8" s="126" customFormat="1" ht="30.95" customHeight="1">
      <c r="B13" s="297"/>
      <c r="C13" s="127"/>
      <c r="D13" s="127"/>
      <c r="E13" s="131"/>
      <c r="F13" s="136"/>
    </row>
    <row r="14" spans="2:8" ht="39.950000000000003" customHeight="1">
      <c r="B14" s="299"/>
      <c r="C14" s="127"/>
      <c r="D14" s="127"/>
      <c r="E14" s="131"/>
      <c r="F14" s="136"/>
    </row>
    <row r="15" spans="2:8" ht="39.950000000000003" customHeight="1">
      <c r="B15" s="299"/>
      <c r="C15" s="127"/>
      <c r="D15" s="127"/>
      <c r="E15" s="131"/>
      <c r="F15" s="136"/>
    </row>
    <row r="16" spans="2:8" ht="39.950000000000003" customHeight="1" thickBot="1">
      <c r="B16" s="299"/>
      <c r="C16" s="127"/>
      <c r="D16" s="127"/>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268</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176" priority="1" stopIfTrue="1">
      <formula>IF($E31="NA",TRUE,FALSE)</formula>
    </cfRule>
  </conditionalFormatting>
  <dataValidations count="3">
    <dataValidation type="list" allowBlank="1" showInputMessage="1" showErrorMessage="1" sqref="E31" xr:uid="{00000000-0002-0000-0F00-000000000000}">
      <formula1>"Yes,No,NA"</formula1>
    </dataValidation>
    <dataValidation type="list" allowBlank="1" showInputMessage="1" showErrorMessage="1" sqref="E17" xr:uid="{00000000-0002-0000-0F00-000001000000}">
      <formula1>"Yes,No"</formula1>
    </dataValidation>
    <dataValidation type="list" allowBlank="1" showInputMessage="1" showErrorMessage="1" sqref="E5:E6 E20:E21 E34:E35" xr:uid="{00000000-0002-0000-0F00-000002000000}">
      <formula1>"Yes,No,Cured in Moment"</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C000"/>
  </sheetPr>
  <dimension ref="B1:BF56"/>
  <sheetViews>
    <sheetView zoomScale="60" zoomScaleNormal="60" workbookViewId="0">
      <selection activeCell="C3" sqref="C3:D3"/>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1406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49.5" customHeight="1" thickBot="1">
      <c r="B3" s="210" t="s">
        <v>208</v>
      </c>
      <c r="C3" s="439" t="s">
        <v>326</v>
      </c>
      <c r="D3" s="440"/>
      <c r="E3" s="161"/>
      <c r="G3" s="220"/>
      <c r="H3" s="220"/>
      <c r="I3" s="220"/>
      <c r="J3" s="220"/>
    </row>
    <row r="4" spans="2:55" ht="84" customHeight="1" thickBot="1">
      <c r="B4" s="211" t="s">
        <v>275</v>
      </c>
      <c r="C4" s="441" t="s">
        <v>452</v>
      </c>
      <c r="D4" s="442"/>
      <c r="E4" s="150"/>
      <c r="G4" s="186" t="s">
        <v>11</v>
      </c>
      <c r="H4" s="443" t="str">
        <f>IF(COUNTIF(BB6,"0")&gt;0,"PASA","NO PASA")</f>
        <v>PASA</v>
      </c>
      <c r="I4" s="444"/>
      <c r="J4" s="445"/>
      <c r="BA4" s="221" t="s">
        <v>174</v>
      </c>
      <c r="BB4" s="123">
        <f>COUNTIF(E17:F23,BA4)</f>
        <v>0</v>
      </c>
      <c r="BC4" s="225" t="s">
        <v>262</v>
      </c>
    </row>
    <row r="5" spans="2:55" ht="38.25" customHeight="1" thickBot="1">
      <c r="B5" s="236" t="s">
        <v>203</v>
      </c>
      <c r="C5" s="446">
        <v>46273</v>
      </c>
      <c r="D5" s="447"/>
      <c r="G5" s="228" t="s">
        <v>198</v>
      </c>
      <c r="H5" s="185" t="s">
        <v>3</v>
      </c>
      <c r="I5" s="229" t="s">
        <v>4</v>
      </c>
      <c r="J5" s="230" t="s">
        <v>5</v>
      </c>
      <c r="BC5" s="225"/>
    </row>
    <row r="6" spans="2:55" ht="48" customHeight="1" thickBot="1">
      <c r="C6" s="122"/>
      <c r="E6" s="128"/>
      <c r="G6" s="187" t="s">
        <v>254</v>
      </c>
      <c r="H6" s="160">
        <v>31</v>
      </c>
      <c r="I6" s="160">
        <f>SUM(F25:F31)</f>
        <v>23</v>
      </c>
      <c r="J6" s="167">
        <f t="shared" ref="J6:J9" si="0">I6/H6</f>
        <v>0.74193548387096775</v>
      </c>
      <c r="BA6" s="221" t="s">
        <v>193</v>
      </c>
      <c r="BB6" s="123">
        <f>COUNTIF(E17:F23,BA6)</f>
        <v>0</v>
      </c>
      <c r="BC6" s="225" t="s">
        <v>263</v>
      </c>
    </row>
    <row r="7" spans="2:55" ht="48" customHeight="1" thickBot="1">
      <c r="B7" s="448" t="s">
        <v>243</v>
      </c>
      <c r="C7" s="451" t="s">
        <v>252</v>
      </c>
      <c r="D7" s="452"/>
      <c r="E7" s="164"/>
      <c r="G7" s="168" t="s">
        <v>199</v>
      </c>
      <c r="H7" s="169">
        <v>18</v>
      </c>
      <c r="I7" s="169">
        <f>SUM(F32:F35)</f>
        <v>13</v>
      </c>
      <c r="J7" s="170">
        <f t="shared" si="0"/>
        <v>0.72222222222222221</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12</v>
      </c>
      <c r="J10" s="171">
        <f>I10/H10</f>
        <v>0.92307692307692313</v>
      </c>
    </row>
    <row r="11" spans="2:55" ht="48" customHeight="1" thickBot="1">
      <c r="B11" s="210" t="s">
        <v>248</v>
      </c>
      <c r="C11" s="457" t="s">
        <v>251</v>
      </c>
      <c r="D11" s="458"/>
      <c r="E11" s="128"/>
      <c r="G11" s="168" t="s">
        <v>256</v>
      </c>
      <c r="H11" s="169">
        <v>5</v>
      </c>
      <c r="I11" s="169">
        <f>SUM(F49:F53)</f>
        <v>4</v>
      </c>
      <c r="J11" s="170">
        <f t="shared" ref="J11:J12" si="1">I11/H11</f>
        <v>0.8</v>
      </c>
    </row>
    <row r="12" spans="2:55" ht="72.75" customHeight="1" thickBot="1">
      <c r="B12" s="219" t="s">
        <v>244</v>
      </c>
      <c r="C12" s="459" t="s">
        <v>246</v>
      </c>
      <c r="D12" s="460"/>
      <c r="E12" s="166"/>
      <c r="G12" s="198" t="s">
        <v>271</v>
      </c>
      <c r="H12" s="199">
        <f>SUM(H6:H11)</f>
        <v>117</v>
      </c>
      <c r="I12" s="199">
        <f>SUM(I6:I11)</f>
        <v>101</v>
      </c>
      <c r="J12" s="200">
        <f t="shared" si="1"/>
        <v>0.86324786324786329</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0.86324786324786329</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G20" s="491"/>
      <c r="H20" s="492"/>
      <c r="I20" s="492"/>
      <c r="J20" s="492"/>
      <c r="K20" s="493"/>
      <c r="V20" s="122"/>
      <c r="AY20" s="172" t="str">
        <f t="shared" si="2"/>
        <v>Yes</v>
      </c>
      <c r="BA20" s="222"/>
      <c r="BB20" s="122"/>
      <c r="BC20" s="122"/>
    </row>
    <row r="21" spans="2:58" s="172" customFormat="1" ht="45.95" customHeight="1">
      <c r="B21" s="449"/>
      <c r="C21" s="214">
        <v>5</v>
      </c>
      <c r="D21" s="215" t="s">
        <v>213</v>
      </c>
      <c r="E21" s="478" t="s">
        <v>266</v>
      </c>
      <c r="F21" s="479"/>
      <c r="G21" s="475"/>
      <c r="H21" s="476"/>
      <c r="I21" s="476"/>
      <c r="J21" s="476"/>
      <c r="K21" s="477"/>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73.5" customHeight="1">
      <c r="B25" s="449" t="s">
        <v>254</v>
      </c>
      <c r="C25" s="174">
        <v>1</v>
      </c>
      <c r="D25" s="191" t="s">
        <v>259</v>
      </c>
      <c r="E25" s="175" t="s">
        <v>266</v>
      </c>
      <c r="F25" s="176">
        <f>IF(E25="Yes",5,0)</f>
        <v>5</v>
      </c>
      <c r="G25" s="524"/>
      <c r="H25" s="525"/>
      <c r="I25" s="525"/>
      <c r="J25" s="525"/>
      <c r="K25" s="526"/>
    </row>
    <row r="26" spans="2:58" ht="96" customHeight="1">
      <c r="B26" s="449"/>
      <c r="C26" s="127">
        <v>2</v>
      </c>
      <c r="D26" s="192" t="s">
        <v>219</v>
      </c>
      <c r="E26" s="140" t="s">
        <v>266</v>
      </c>
      <c r="F26" s="135">
        <f>IF(E26="Yes",5,0)</f>
        <v>5</v>
      </c>
      <c r="G26" s="500"/>
      <c r="H26" s="501"/>
      <c r="I26" s="501"/>
      <c r="J26" s="501"/>
      <c r="K26" s="502"/>
    </row>
    <row r="27" spans="2:58" ht="45.95" customHeight="1">
      <c r="B27" s="449"/>
      <c r="C27" s="143">
        <v>3</v>
      </c>
      <c r="D27" s="193" t="s">
        <v>216</v>
      </c>
      <c r="E27" s="177" t="s">
        <v>266</v>
      </c>
      <c r="F27" s="178">
        <f>IF(E27="Yes",5,0)</f>
        <v>5</v>
      </c>
      <c r="G27" s="503"/>
      <c r="H27" s="504"/>
      <c r="I27" s="504"/>
      <c r="J27" s="504"/>
      <c r="K27" s="505"/>
    </row>
    <row r="28" spans="2:58" ht="51.75" customHeight="1">
      <c r="B28" s="449"/>
      <c r="C28" s="127">
        <v>4</v>
      </c>
      <c r="D28" s="192" t="s">
        <v>217</v>
      </c>
      <c r="E28" s="140" t="s">
        <v>193</v>
      </c>
      <c r="F28" s="135">
        <f t="shared" ref="F28:F32" si="3">IF(E28="Yes",1,0)</f>
        <v>0</v>
      </c>
      <c r="G28" s="500" t="s">
        <v>457</v>
      </c>
      <c r="H28" s="501"/>
      <c r="I28" s="501"/>
      <c r="J28" s="501"/>
      <c r="K28" s="502"/>
    </row>
    <row r="29" spans="2:58" ht="59.25" customHeight="1">
      <c r="B29" s="449"/>
      <c r="C29" s="151">
        <v>5</v>
      </c>
      <c r="D29" s="193" t="s">
        <v>218</v>
      </c>
      <c r="E29" s="177" t="s">
        <v>266</v>
      </c>
      <c r="F29" s="178">
        <f t="shared" si="3"/>
        <v>1</v>
      </c>
      <c r="G29" s="491"/>
      <c r="H29" s="492"/>
      <c r="I29" s="492"/>
      <c r="J29" s="492"/>
      <c r="K29" s="493"/>
    </row>
    <row r="30" spans="2:58" ht="47.25" customHeight="1">
      <c r="B30" s="449"/>
      <c r="C30" s="131">
        <v>6</v>
      </c>
      <c r="D30" s="192" t="s">
        <v>220</v>
      </c>
      <c r="E30" s="140" t="s">
        <v>266</v>
      </c>
      <c r="F30" s="135">
        <f>IF(E30="Yes",7,0)</f>
        <v>7</v>
      </c>
    </row>
    <row r="31" spans="2:58" ht="48.75" customHeight="1" thickBot="1">
      <c r="B31" s="450"/>
      <c r="C31" s="158">
        <v>7</v>
      </c>
      <c r="D31" s="194" t="s">
        <v>221</v>
      </c>
      <c r="E31" s="179" t="s">
        <v>193</v>
      </c>
      <c r="F31" s="180">
        <f>IF(E31="Yes",7,0)</f>
        <v>0</v>
      </c>
      <c r="G31" s="545" t="s">
        <v>454</v>
      </c>
      <c r="H31" s="546"/>
      <c r="I31" s="546"/>
      <c r="J31" s="546"/>
      <c r="K31" s="562"/>
    </row>
    <row r="32" spans="2:58" ht="48.75" customHeight="1">
      <c r="B32" s="448" t="s">
        <v>257</v>
      </c>
      <c r="C32" s="227">
        <v>1</v>
      </c>
      <c r="D32" s="206" t="s">
        <v>222</v>
      </c>
      <c r="E32" s="181" t="s">
        <v>266</v>
      </c>
      <c r="F32" s="182">
        <f t="shared" si="3"/>
        <v>1</v>
      </c>
      <c r="G32" s="512"/>
      <c r="H32" s="513"/>
      <c r="I32" s="513"/>
      <c r="J32" s="513"/>
      <c r="K32" s="514"/>
    </row>
    <row r="33" spans="2:11" ht="45.95" customHeight="1">
      <c r="B33" s="449"/>
      <c r="C33" s="143">
        <v>2</v>
      </c>
      <c r="D33" s="203" t="s">
        <v>223</v>
      </c>
      <c r="E33" s="177" t="s">
        <v>266</v>
      </c>
      <c r="F33" s="178">
        <f>IF(E33="Yes",5,0)</f>
        <v>5</v>
      </c>
      <c r="G33" s="503"/>
      <c r="H33" s="504"/>
      <c r="I33" s="504"/>
      <c r="J33" s="504"/>
      <c r="K33" s="505"/>
    </row>
    <row r="34" spans="2:11" ht="45.95" customHeight="1">
      <c r="B34" s="449"/>
      <c r="C34" s="131">
        <v>3</v>
      </c>
      <c r="D34" s="202" t="s">
        <v>224</v>
      </c>
      <c r="E34" s="140" t="s">
        <v>193</v>
      </c>
      <c r="F34" s="135">
        <f>IF(E34="Yes",5,0)</f>
        <v>0</v>
      </c>
      <c r="G34" s="500" t="s">
        <v>373</v>
      </c>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509"/>
      <c r="H37" s="510"/>
      <c r="I37" s="510"/>
      <c r="J37" s="510"/>
      <c r="K37" s="511"/>
    </row>
    <row r="38" spans="2:11" ht="50.25"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315</v>
      </c>
      <c r="F39" s="178">
        <f>IF(OR(E39="Yes",E39="NA"),7,0)</f>
        <v>7</v>
      </c>
      <c r="G39" s="195"/>
      <c r="H39" s="196"/>
      <c r="I39" s="196"/>
      <c r="J39" s="196"/>
      <c r="K39" s="197"/>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518"/>
      <c r="H41" s="519"/>
      <c r="I41" s="519"/>
      <c r="J41" s="519"/>
      <c r="K41" s="520"/>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193</v>
      </c>
      <c r="F44" s="135">
        <f>IF(E44="Yes",1,0)</f>
        <v>0</v>
      </c>
      <c r="G44" s="500" t="s">
        <v>453</v>
      </c>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thickBot="1">
      <c r="B47" s="449"/>
      <c r="C47" s="143">
        <v>2</v>
      </c>
      <c r="D47" s="193" t="s">
        <v>239</v>
      </c>
      <c r="E47" s="177" t="s">
        <v>266</v>
      </c>
      <c r="F47" s="178">
        <f>IF(E47="Yes",5,0)</f>
        <v>5</v>
      </c>
      <c r="G47" s="494"/>
      <c r="H47" s="495"/>
      <c r="I47" s="495"/>
      <c r="J47" s="495"/>
      <c r="K47" s="496"/>
    </row>
    <row r="48" spans="2:11" ht="45.95" customHeight="1" thickBot="1">
      <c r="B48" s="450"/>
      <c r="C48" s="132">
        <v>3</v>
      </c>
      <c r="D48" s="205" t="s">
        <v>231</v>
      </c>
      <c r="E48" s="142" t="s">
        <v>193</v>
      </c>
      <c r="F48" s="137">
        <f>IF(E48="Yes",1,0)</f>
        <v>0</v>
      </c>
      <c r="G48" s="494" t="s">
        <v>455</v>
      </c>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266</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57" customHeight="1">
      <c r="B53" s="449"/>
      <c r="C53" s="151">
        <v>5</v>
      </c>
      <c r="D53" s="204" t="s">
        <v>234</v>
      </c>
      <c r="E53" s="189" t="s">
        <v>193</v>
      </c>
      <c r="F53" s="190">
        <f>IF(E53="Yes",1,0)</f>
        <v>0</v>
      </c>
      <c r="G53" s="586" t="s">
        <v>456</v>
      </c>
      <c r="H53" s="587"/>
      <c r="I53" s="587"/>
      <c r="J53" s="587"/>
      <c r="K53" s="588"/>
    </row>
    <row r="54" spans="2:11" ht="31.5" customHeight="1">
      <c r="B54" s="231"/>
      <c r="C54" s="232"/>
      <c r="D54" s="233"/>
      <c r="E54" s="234"/>
      <c r="F54" s="234"/>
      <c r="G54" s="235"/>
      <c r="H54" s="235"/>
      <c r="I54" s="235"/>
      <c r="J54" s="235"/>
      <c r="K54" s="235"/>
    </row>
    <row r="55" spans="2:11" ht="31.5" customHeight="1"/>
    <row r="56" spans="2:11" ht="31.5" customHeight="1"/>
  </sheetData>
  <mergeCells count="67">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41:K41"/>
    <mergeCell ref="G37:K37"/>
    <mergeCell ref="G23:K23"/>
    <mergeCell ref="B36:B40"/>
    <mergeCell ref="G36:K36"/>
    <mergeCell ref="G38:K38"/>
    <mergeCell ref="G40:K40"/>
    <mergeCell ref="B24:D24"/>
    <mergeCell ref="G24:K24"/>
    <mergeCell ref="B25:B31"/>
    <mergeCell ref="G25:K25"/>
    <mergeCell ref="G26:K26"/>
    <mergeCell ref="G27:K27"/>
    <mergeCell ref="G28:K28"/>
    <mergeCell ref="G31:K31"/>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0:K20"/>
    <mergeCell ref="G29:K29"/>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175" priority="9" operator="notContains" text="YES">
      <formula>ISERROR(SEARCH("YES",E17))</formula>
    </cfRule>
  </conditionalFormatting>
  <conditionalFormatting sqref="E43:E53">
    <cfRule type="containsText" dxfId="174" priority="7" operator="containsText" text="No">
      <formula>NOT(ISERROR(SEARCH("No",E43)))</formula>
    </cfRule>
  </conditionalFormatting>
  <conditionalFormatting sqref="E25:F42">
    <cfRule type="containsText" dxfId="173" priority="8" operator="containsText" text="No">
      <formula>NOT(ISERROR(SEARCH("No",E25)))</formula>
    </cfRule>
  </conditionalFormatting>
  <conditionalFormatting sqref="H4:J4">
    <cfRule type="cellIs" dxfId="172" priority="1" operator="equal">
      <formula>"NO PASA"</formula>
    </cfRule>
    <cfRule type="cellIs" dxfId="171" priority="2" operator="equal">
      <formula>"NO PASA"</formula>
    </cfRule>
    <cfRule type="cellIs" dxfId="170" priority="3" operator="equal">
      <formula>"PASA"</formula>
    </cfRule>
    <cfRule type="cellIs" dxfId="169" priority="4" operator="equal">
      <formula>"PASA"</formula>
    </cfRule>
    <cfRule type="cellIs" dxfId="168" priority="5" operator="equal">
      <formula>"NO PASA"</formula>
    </cfRule>
    <cfRule type="containsText" dxfId="167" priority="6" operator="containsText" text="PASA">
      <formula>NOT(ISERROR(SEARCH("PASA",H4)))</formula>
    </cfRule>
    <cfRule type="cellIs" dxfId="166" priority="13" operator="equal">
      <formula>$BC$7</formula>
    </cfRule>
    <cfRule type="cellIs" dxfId="165" priority="14" operator="equal">
      <formula>$BC$6</formula>
    </cfRule>
    <cfRule type="cellIs" dxfId="164" priority="15" operator="equal">
      <formula>$BC$4</formula>
    </cfRule>
  </conditionalFormatting>
  <conditionalFormatting sqref="I14">
    <cfRule type="cellIs" dxfId="163" priority="10" operator="greaterThanOrEqual">
      <formula>0.9</formula>
    </cfRule>
    <cfRule type="cellIs" dxfId="162" priority="11" operator="between">
      <formula>0.71</formula>
      <formula>0.9</formula>
    </cfRule>
    <cfRule type="cellIs" dxfId="161" priority="12" operator="lessThan">
      <formula>0.71</formula>
    </cfRule>
  </conditionalFormatting>
  <dataValidations count="3">
    <dataValidation type="list" allowBlank="1" showInputMessage="1" showErrorMessage="1" sqref="E38:E39 E50:E51" xr:uid="{00000000-0002-0000-1400-000000000000}">
      <formula1>"Yes,No,NA"</formula1>
    </dataValidation>
    <dataValidation type="list" allowBlank="1" showInputMessage="1" showErrorMessage="1" sqref="E52:E53 E25:E37 E40:E49" xr:uid="{00000000-0002-0000-1400-000001000000}">
      <formula1>"Yes,No"</formula1>
    </dataValidation>
    <dataValidation type="list" allowBlank="1" showInputMessage="1" showErrorMessage="1" sqref="E17:E23" xr:uid="{00000000-0002-0000-1400-000002000000}">
      <formula1>"Yes,No,Cured in Moment"</formula1>
    </dataValidation>
  </dataValidation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C000"/>
  </sheetPr>
  <dimension ref="B1:H103"/>
  <sheetViews>
    <sheetView topLeftCell="A4" zoomScale="50" zoomScaleNormal="50" workbookViewId="0">
      <selection activeCell="D11" sqref="D11"/>
    </sheetView>
  </sheetViews>
  <sheetFormatPr baseColWidth="10" defaultColWidth="8.85546875" defaultRowHeight="18"/>
  <cols>
    <col min="1" max="1" width="4.42578125" style="124" customWidth="1"/>
    <col min="2" max="2" width="45.8554687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72.75" customHeight="1">
      <c r="B7" s="295" t="s">
        <v>458</v>
      </c>
      <c r="C7" s="130" t="s">
        <v>381</v>
      </c>
      <c r="D7" s="284">
        <v>46295</v>
      </c>
      <c r="E7" s="130"/>
      <c r="F7" s="134"/>
    </row>
    <row r="8" spans="2:8" ht="60.75" customHeight="1">
      <c r="B8" s="297" t="s">
        <v>459</v>
      </c>
      <c r="C8" s="130" t="s">
        <v>381</v>
      </c>
      <c r="D8" s="284">
        <v>46295</v>
      </c>
      <c r="E8" s="127"/>
      <c r="F8" s="135"/>
    </row>
    <row r="9" spans="2:8" ht="68.25" customHeight="1">
      <c r="B9" s="297" t="s">
        <v>460</v>
      </c>
      <c r="C9" s="130" t="s">
        <v>381</v>
      </c>
      <c r="D9" s="284">
        <v>46295</v>
      </c>
      <c r="E9" s="131"/>
      <c r="F9" s="136"/>
    </row>
    <row r="10" spans="2:8" ht="65.25" customHeight="1">
      <c r="B10" s="295" t="s">
        <v>461</v>
      </c>
      <c r="C10" s="130" t="s">
        <v>381</v>
      </c>
      <c r="D10" s="284">
        <v>46295</v>
      </c>
      <c r="E10" s="131"/>
      <c r="F10" s="136"/>
    </row>
    <row r="11" spans="2:8" ht="93.75" customHeight="1">
      <c r="B11" s="297" t="s">
        <v>462</v>
      </c>
      <c r="C11" s="130" t="s">
        <v>381</v>
      </c>
      <c r="D11" s="284">
        <v>46295</v>
      </c>
      <c r="E11" s="131"/>
      <c r="F11" s="136"/>
    </row>
    <row r="12" spans="2:8" ht="88.5" customHeight="1">
      <c r="B12" s="297"/>
      <c r="C12" s="131"/>
      <c r="D12" s="138"/>
      <c r="E12" s="131"/>
      <c r="F12" s="136"/>
    </row>
    <row r="13" spans="2:8" s="126" customFormat="1" ht="50.25" customHeight="1">
      <c r="B13" s="297"/>
      <c r="C13" s="131"/>
      <c r="D13" s="131"/>
      <c r="E13" s="131"/>
      <c r="F13" s="136"/>
    </row>
    <row r="14" spans="2:8" ht="39.950000000000003" customHeight="1">
      <c r="B14" s="297"/>
      <c r="C14" s="131"/>
      <c r="D14" s="131"/>
      <c r="E14" s="131"/>
      <c r="F14" s="136"/>
    </row>
    <row r="15" spans="2:8" ht="39.950000000000003" customHeight="1">
      <c r="B15" s="299"/>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268</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160" priority="1" stopIfTrue="1">
      <formula>IF($E31="NA",TRUE,FALSE)</formula>
    </cfRule>
  </conditionalFormatting>
  <dataValidations count="3">
    <dataValidation type="list" allowBlank="1" showInputMessage="1" showErrorMessage="1" sqref="E31" xr:uid="{00000000-0002-0000-1500-000000000000}">
      <formula1>"Yes,No,NA"</formula1>
    </dataValidation>
    <dataValidation type="list" allowBlank="1" showInputMessage="1" showErrorMessage="1" sqref="E17" xr:uid="{00000000-0002-0000-1500-000001000000}">
      <formula1>"Yes,No"</formula1>
    </dataValidation>
    <dataValidation type="list" allowBlank="1" showInputMessage="1" showErrorMessage="1" sqref="E5:E6 E20:E21 E34:E35" xr:uid="{00000000-0002-0000-1500-000002000000}">
      <formula1>"Yes,No,Cured in Moment"</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B1:BF56"/>
  <sheetViews>
    <sheetView topLeftCell="B1" zoomScale="60" zoomScaleNormal="60" workbookViewId="0">
      <selection activeCell="C5" sqref="C5:D5"/>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3.855468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44.25" customHeight="1" thickBot="1">
      <c r="B3" s="210" t="s">
        <v>208</v>
      </c>
      <c r="C3" s="439" t="s">
        <v>324</v>
      </c>
      <c r="D3" s="440"/>
      <c r="E3" s="161"/>
      <c r="G3" s="220"/>
      <c r="H3" s="220"/>
      <c r="I3" s="220"/>
      <c r="J3" s="220"/>
    </row>
    <row r="4" spans="2:55" ht="73.5" customHeight="1" thickBot="1">
      <c r="B4" s="211" t="s">
        <v>275</v>
      </c>
      <c r="C4" s="441" t="s">
        <v>354</v>
      </c>
      <c r="D4" s="442"/>
      <c r="E4" s="150"/>
      <c r="G4" s="186" t="s">
        <v>11</v>
      </c>
      <c r="H4" s="443" t="str">
        <f>IF(COUNTIF(BB6,"0")&gt;0,"PASA","NO PASA")</f>
        <v>PASA</v>
      </c>
      <c r="I4" s="444"/>
      <c r="J4" s="445"/>
      <c r="BA4" s="221" t="s">
        <v>174</v>
      </c>
      <c r="BB4" s="123">
        <f>COUNTIF(E17:F23,BA4)</f>
        <v>0</v>
      </c>
      <c r="BC4" s="225" t="s">
        <v>262</v>
      </c>
    </row>
    <row r="5" spans="2:55" ht="40.5" customHeight="1" thickBot="1">
      <c r="B5" s="236" t="s">
        <v>203</v>
      </c>
      <c r="C5" s="446">
        <v>46274</v>
      </c>
      <c r="D5" s="447"/>
      <c r="G5" s="228" t="s">
        <v>198</v>
      </c>
      <c r="H5" s="185" t="s">
        <v>3</v>
      </c>
      <c r="I5" s="229" t="s">
        <v>4</v>
      </c>
      <c r="J5" s="230" t="s">
        <v>5</v>
      </c>
      <c r="BC5" s="225"/>
    </row>
    <row r="6" spans="2:55" ht="48" customHeight="1" thickBot="1">
      <c r="C6" s="122"/>
      <c r="E6" s="128"/>
      <c r="G6" s="187" t="s">
        <v>254</v>
      </c>
      <c r="H6" s="160">
        <v>31</v>
      </c>
      <c r="I6" s="160">
        <f>SUM(F25:F31)</f>
        <v>23</v>
      </c>
      <c r="J6" s="167">
        <f t="shared" ref="J6:J9" si="0">I6/H6</f>
        <v>0.74193548387096775</v>
      </c>
      <c r="BA6" s="221" t="s">
        <v>193</v>
      </c>
      <c r="BB6" s="123">
        <f>COUNTIF(E17:F23,BA6)</f>
        <v>0</v>
      </c>
      <c r="BC6" s="225" t="s">
        <v>263</v>
      </c>
    </row>
    <row r="7" spans="2:55" ht="48" customHeight="1" thickBot="1">
      <c r="B7" s="448" t="s">
        <v>243</v>
      </c>
      <c r="C7" s="451" t="s">
        <v>252</v>
      </c>
      <c r="D7" s="452"/>
      <c r="E7" s="164"/>
      <c r="G7" s="168" t="s">
        <v>199</v>
      </c>
      <c r="H7" s="169">
        <v>18</v>
      </c>
      <c r="I7" s="169">
        <f>SUM(F32:F35)</f>
        <v>12</v>
      </c>
      <c r="J7" s="170">
        <f t="shared" si="0"/>
        <v>0.66666666666666663</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5</v>
      </c>
      <c r="J11" s="170">
        <f t="shared" ref="J11:J12" si="1">I11/H11</f>
        <v>1</v>
      </c>
    </row>
    <row r="12" spans="2:55" ht="72.75" customHeight="1" thickBot="1">
      <c r="B12" s="219" t="s">
        <v>244</v>
      </c>
      <c r="C12" s="459" t="s">
        <v>246</v>
      </c>
      <c r="D12" s="460"/>
      <c r="E12" s="166"/>
      <c r="G12" s="198" t="s">
        <v>271</v>
      </c>
      <c r="H12" s="199">
        <f>SUM(H6:H11)</f>
        <v>117</v>
      </c>
      <c r="I12" s="199">
        <f>SUM(I6:I11)</f>
        <v>103</v>
      </c>
      <c r="J12" s="200">
        <f t="shared" si="1"/>
        <v>0.88034188034188032</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0.88034188034188032</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553"/>
      <c r="H17" s="554"/>
      <c r="I17" s="554"/>
      <c r="J17" s="554"/>
      <c r="K17" s="555"/>
      <c r="V17" s="122"/>
      <c r="AY17" s="172" t="str">
        <f>E17</f>
        <v>Yes</v>
      </c>
      <c r="BA17" s="221" t="s">
        <v>174</v>
      </c>
      <c r="BB17" s="123">
        <f>COUNTIF(AY17:AY23,BA17)</f>
        <v>0</v>
      </c>
      <c r="BC17" s="225" t="s">
        <v>262</v>
      </c>
    </row>
    <row r="18" spans="2:58" s="172" customFormat="1" ht="51" customHeight="1">
      <c r="B18" s="449"/>
      <c r="C18" s="216">
        <v>2</v>
      </c>
      <c r="D18" s="217" t="s">
        <v>210</v>
      </c>
      <c r="E18" s="473" t="s">
        <v>266</v>
      </c>
      <c r="F18" s="474"/>
      <c r="G18" s="500"/>
      <c r="H18" s="501"/>
      <c r="I18" s="501"/>
      <c r="J18" s="501"/>
      <c r="K18" s="502"/>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503"/>
      <c r="H19" s="504"/>
      <c r="I19" s="504"/>
      <c r="J19" s="504"/>
      <c r="K19" s="505"/>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G20" s="500"/>
      <c r="H20" s="501"/>
      <c r="I20" s="501"/>
      <c r="J20" s="501"/>
      <c r="K20" s="502"/>
      <c r="V20" s="122"/>
      <c r="AY20" s="172" t="str">
        <f t="shared" si="2"/>
        <v>Yes</v>
      </c>
      <c r="BA20" s="222"/>
      <c r="BB20" s="122"/>
      <c r="BC20" s="122"/>
    </row>
    <row r="21" spans="2:58" s="172" customFormat="1" ht="45.95" customHeight="1">
      <c r="B21" s="449"/>
      <c r="C21" s="214">
        <v>5</v>
      </c>
      <c r="D21" s="215" t="s">
        <v>213</v>
      </c>
      <c r="E21" s="478" t="s">
        <v>266</v>
      </c>
      <c r="F21" s="479"/>
      <c r="G21" s="570"/>
      <c r="H21" s="571"/>
      <c r="I21" s="571"/>
      <c r="J21" s="571"/>
      <c r="K21" s="572"/>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524"/>
      <c r="H25" s="525"/>
      <c r="I25" s="525"/>
      <c r="J25" s="525"/>
      <c r="K25" s="526"/>
    </row>
    <row r="26" spans="2:58" ht="77.25" customHeight="1">
      <c r="B26" s="449"/>
      <c r="C26" s="127">
        <v>2</v>
      </c>
      <c r="D26" s="192" t="s">
        <v>219</v>
      </c>
      <c r="E26" s="140" t="s">
        <v>266</v>
      </c>
      <c r="F26" s="135">
        <f>IF(E26="Yes",5,0)</f>
        <v>5</v>
      </c>
      <c r="G26" s="500"/>
      <c r="H26" s="501"/>
      <c r="I26" s="501"/>
      <c r="J26" s="501"/>
      <c r="K26" s="502"/>
    </row>
    <row r="27" spans="2:58" ht="45.95" customHeight="1">
      <c r="B27" s="449"/>
      <c r="C27" s="143">
        <v>3</v>
      </c>
      <c r="D27" s="193" t="s">
        <v>216</v>
      </c>
      <c r="E27" s="177" t="s">
        <v>266</v>
      </c>
      <c r="F27" s="178">
        <f>IF(E27="Yes",5,0)</f>
        <v>5</v>
      </c>
      <c r="G27" s="503"/>
      <c r="H27" s="504"/>
      <c r="I27" s="504"/>
      <c r="J27" s="504"/>
      <c r="K27" s="505"/>
    </row>
    <row r="28" spans="2:58" ht="51.75" customHeight="1">
      <c r="B28" s="449"/>
      <c r="C28" s="127">
        <v>4</v>
      </c>
      <c r="D28" s="192" t="s">
        <v>217</v>
      </c>
      <c r="E28" s="140" t="s">
        <v>266</v>
      </c>
      <c r="F28" s="135">
        <f t="shared" ref="F28:F32" si="3">IF(E28="Yes",1,0)</f>
        <v>1</v>
      </c>
      <c r="G28" s="500"/>
      <c r="H28" s="501"/>
      <c r="I28" s="501"/>
      <c r="J28" s="501"/>
      <c r="K28" s="502"/>
    </row>
    <row r="29" spans="2:58" ht="50.25" customHeight="1">
      <c r="B29" s="449"/>
      <c r="C29" s="151">
        <v>5</v>
      </c>
      <c r="D29" s="193" t="s">
        <v>218</v>
      </c>
      <c r="E29" s="177" t="s">
        <v>193</v>
      </c>
      <c r="F29" s="178">
        <f t="shared" si="3"/>
        <v>0</v>
      </c>
      <c r="G29" s="500" t="s">
        <v>412</v>
      </c>
      <c r="H29" s="501"/>
      <c r="I29" s="501"/>
      <c r="J29" s="501"/>
      <c r="K29" s="502"/>
    </row>
    <row r="30" spans="2:58" ht="47.25" customHeight="1">
      <c r="B30" s="449"/>
      <c r="C30" s="131">
        <v>6</v>
      </c>
      <c r="D30" s="192" t="s">
        <v>220</v>
      </c>
      <c r="E30" s="140" t="s">
        <v>266</v>
      </c>
      <c r="F30" s="135">
        <f>IF(E30="Yes",7,0)</f>
        <v>7</v>
      </c>
      <c r="G30" s="500"/>
      <c r="H30" s="501"/>
      <c r="I30" s="501"/>
      <c r="J30" s="501"/>
      <c r="K30" s="502"/>
    </row>
    <row r="31" spans="2:58" ht="48.75" customHeight="1" thickBot="1">
      <c r="B31" s="450"/>
      <c r="C31" s="158">
        <v>7</v>
      </c>
      <c r="D31" s="194" t="s">
        <v>221</v>
      </c>
      <c r="E31" s="179" t="s">
        <v>193</v>
      </c>
      <c r="F31" s="180">
        <f>IF(E31="Yes",7,0)</f>
        <v>0</v>
      </c>
      <c r="G31" s="545" t="s">
        <v>413</v>
      </c>
      <c r="H31" s="546"/>
      <c r="I31" s="546"/>
      <c r="J31" s="546"/>
      <c r="K31" s="562"/>
    </row>
    <row r="32" spans="2:58" ht="48.75" customHeight="1">
      <c r="B32" s="448" t="s">
        <v>257</v>
      </c>
      <c r="C32" s="227">
        <v>1</v>
      </c>
      <c r="D32" s="206" t="s">
        <v>222</v>
      </c>
      <c r="E32" s="181" t="s">
        <v>193</v>
      </c>
      <c r="F32" s="182">
        <f t="shared" si="3"/>
        <v>0</v>
      </c>
      <c r="G32" s="512" t="s">
        <v>414</v>
      </c>
      <c r="H32" s="513"/>
      <c r="I32" s="513"/>
      <c r="J32" s="513"/>
      <c r="K32" s="514"/>
    </row>
    <row r="33" spans="2:11" ht="45.95" customHeight="1">
      <c r="B33" s="449"/>
      <c r="C33" s="143">
        <v>2</v>
      </c>
      <c r="D33" s="203" t="s">
        <v>223</v>
      </c>
      <c r="E33" s="177" t="s">
        <v>266</v>
      </c>
      <c r="F33" s="178">
        <f>IF(E33="Yes",5,0)</f>
        <v>5</v>
      </c>
      <c r="G33" s="503"/>
      <c r="H33" s="504"/>
      <c r="I33" s="504"/>
      <c r="J33" s="504"/>
      <c r="K33" s="505"/>
    </row>
    <row r="34" spans="2:11" ht="45.95" customHeight="1">
      <c r="B34" s="449"/>
      <c r="C34" s="131">
        <v>3</v>
      </c>
      <c r="D34" s="202" t="s">
        <v>224</v>
      </c>
      <c r="E34" s="140" t="s">
        <v>193</v>
      </c>
      <c r="F34" s="135">
        <f>IF(E34="Yes",5,0)</f>
        <v>0</v>
      </c>
      <c r="G34" s="500" t="s">
        <v>415</v>
      </c>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195"/>
      <c r="H37" s="196"/>
      <c r="I37" s="196"/>
      <c r="J37" s="196"/>
      <c r="K37" s="197"/>
    </row>
    <row r="38" spans="2:11" ht="63"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315</v>
      </c>
      <c r="F39" s="178">
        <f>IF(OR(E39="Yes",E39="NA"),7,0)</f>
        <v>7</v>
      </c>
      <c r="G39" s="195"/>
      <c r="H39" s="196"/>
      <c r="I39" s="196"/>
      <c r="J39" s="196"/>
      <c r="K39" s="197"/>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149"/>
      <c r="H41" s="147"/>
      <c r="I41" s="147"/>
      <c r="J41" s="147"/>
      <c r="K41" s="148"/>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266</v>
      </c>
      <c r="F44" s="135">
        <f>IF(E44="Yes",1,0)</f>
        <v>1</v>
      </c>
      <c r="G44" s="500"/>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315</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266</v>
      </c>
      <c r="F53" s="190">
        <f>IF(E53="Yes",1,0)</f>
        <v>1</v>
      </c>
      <c r="G53" s="503"/>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6">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G23:K23"/>
    <mergeCell ref="B36:B40"/>
    <mergeCell ref="G36:K36"/>
    <mergeCell ref="G38:K38"/>
    <mergeCell ref="G40:K40"/>
    <mergeCell ref="B24:D24"/>
    <mergeCell ref="G24:K24"/>
    <mergeCell ref="B25:B31"/>
    <mergeCell ref="G25:K25"/>
    <mergeCell ref="G26:K26"/>
    <mergeCell ref="G27:K27"/>
    <mergeCell ref="G28:K28"/>
    <mergeCell ref="G30:K30"/>
    <mergeCell ref="G31:K31"/>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0:K20"/>
    <mergeCell ref="G29:K29"/>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159" priority="9" operator="notContains" text="YES">
      <formula>ISERROR(SEARCH("YES",E17))</formula>
    </cfRule>
  </conditionalFormatting>
  <conditionalFormatting sqref="E43:E53">
    <cfRule type="containsText" dxfId="158" priority="7" operator="containsText" text="No">
      <formula>NOT(ISERROR(SEARCH("No",E43)))</formula>
    </cfRule>
  </conditionalFormatting>
  <conditionalFormatting sqref="E25:F42">
    <cfRule type="containsText" dxfId="157" priority="8" operator="containsText" text="No">
      <formula>NOT(ISERROR(SEARCH("No",E25)))</formula>
    </cfRule>
  </conditionalFormatting>
  <conditionalFormatting sqref="H4:J4">
    <cfRule type="cellIs" dxfId="156" priority="1" operator="equal">
      <formula>"NO PASA"</formula>
    </cfRule>
    <cfRule type="cellIs" dxfId="155" priority="2" operator="equal">
      <formula>"NO PASA"</formula>
    </cfRule>
    <cfRule type="cellIs" dxfId="154" priority="3" operator="equal">
      <formula>"PASA"</formula>
    </cfRule>
    <cfRule type="cellIs" dxfId="153" priority="4" operator="equal">
      <formula>"PASA"</formula>
    </cfRule>
    <cfRule type="cellIs" dxfId="152" priority="5" operator="equal">
      <formula>"NO PASA"</formula>
    </cfRule>
    <cfRule type="containsText" dxfId="151" priority="6" operator="containsText" text="PASA">
      <formula>NOT(ISERROR(SEARCH("PASA",H4)))</formula>
    </cfRule>
    <cfRule type="cellIs" dxfId="150" priority="13" operator="equal">
      <formula>$BC$7</formula>
    </cfRule>
    <cfRule type="cellIs" dxfId="149" priority="14" operator="equal">
      <formula>$BC$6</formula>
    </cfRule>
    <cfRule type="cellIs" dxfId="148" priority="15" operator="equal">
      <formula>$BC$4</formula>
    </cfRule>
  </conditionalFormatting>
  <conditionalFormatting sqref="I14">
    <cfRule type="cellIs" dxfId="147" priority="10" operator="greaterThanOrEqual">
      <formula>0.9</formula>
    </cfRule>
    <cfRule type="cellIs" dxfId="146" priority="11" operator="between">
      <formula>0.71</formula>
      <formula>0.9</formula>
    </cfRule>
    <cfRule type="cellIs" dxfId="145" priority="12" operator="lessThan">
      <formula>0.71</formula>
    </cfRule>
  </conditionalFormatting>
  <dataValidations count="3">
    <dataValidation type="list" allowBlank="1" showInputMessage="1" showErrorMessage="1" sqref="E38:E39 E50:E51" xr:uid="{00000000-0002-0000-1000-000000000000}">
      <formula1>"Yes,No,NA"</formula1>
    </dataValidation>
    <dataValidation type="list" allowBlank="1" showInputMessage="1" showErrorMessage="1" sqref="E52:E53 E25:E37 E40:E49" xr:uid="{00000000-0002-0000-1000-000001000000}">
      <formula1>"Yes,No"</formula1>
    </dataValidation>
    <dataValidation type="list" allowBlank="1" showInputMessage="1" showErrorMessage="1" sqref="E17:E23" xr:uid="{00000000-0002-0000-1000-000002000000}">
      <formula1>"Yes,No,Cured in Moment"</formula1>
    </dataValidation>
  </dataValidations>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B1:H103"/>
  <sheetViews>
    <sheetView topLeftCell="A3" zoomScale="60" zoomScaleNormal="60" workbookViewId="0">
      <selection activeCell="D10" sqref="D10"/>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60" customHeight="1">
      <c r="B7" s="297" t="s">
        <v>416</v>
      </c>
      <c r="C7" s="130" t="s">
        <v>382</v>
      </c>
      <c r="D7" s="138" t="s">
        <v>387</v>
      </c>
      <c r="E7" s="130"/>
      <c r="F7" s="134"/>
    </row>
    <row r="8" spans="2:8" ht="75.75" customHeight="1">
      <c r="B8" s="298" t="s">
        <v>417</v>
      </c>
      <c r="C8" s="130" t="s">
        <v>382</v>
      </c>
      <c r="D8" s="138" t="s">
        <v>387</v>
      </c>
      <c r="E8" s="127"/>
      <c r="F8" s="135"/>
    </row>
    <row r="9" spans="2:8" ht="52.5" customHeight="1">
      <c r="B9" s="297" t="s">
        <v>418</v>
      </c>
      <c r="C9" s="130" t="s">
        <v>382</v>
      </c>
      <c r="D9" s="284" t="s">
        <v>411</v>
      </c>
      <c r="E9" s="127"/>
      <c r="F9" s="136"/>
    </row>
    <row r="10" spans="2:8" ht="72">
      <c r="B10" s="297" t="s">
        <v>419</v>
      </c>
      <c r="C10" s="130" t="s">
        <v>382</v>
      </c>
      <c r="D10" s="284" t="s">
        <v>411</v>
      </c>
      <c r="E10" s="131"/>
      <c r="F10" s="136"/>
    </row>
    <row r="11" spans="2:8" ht="71.25" customHeight="1">
      <c r="B11" s="297"/>
      <c r="C11" s="130" t="s">
        <v>382</v>
      </c>
      <c r="D11" s="138"/>
      <c r="E11" s="131"/>
      <c r="F11" s="136"/>
    </row>
    <row r="12" spans="2:8" ht="44.1" customHeight="1">
      <c r="B12" s="297"/>
      <c r="C12" s="131"/>
      <c r="D12" s="307"/>
      <c r="E12" s="131"/>
      <c r="F12" s="136"/>
    </row>
    <row r="13" spans="2:8" s="126" customFormat="1" ht="42" customHeight="1">
      <c r="B13" s="297"/>
      <c r="C13" s="131"/>
      <c r="D13" s="131"/>
      <c r="E13" s="131"/>
      <c r="F13" s="136"/>
    </row>
    <row r="14" spans="2:8" ht="39.950000000000003" customHeight="1">
      <c r="B14" s="297"/>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268</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144" priority="1" stopIfTrue="1">
      <formula>IF($E31="NA",TRUE,FALSE)</formula>
    </cfRule>
  </conditionalFormatting>
  <dataValidations count="3">
    <dataValidation type="list" allowBlank="1" showInputMessage="1" showErrorMessage="1" sqref="E31" xr:uid="{00000000-0002-0000-1100-000000000000}">
      <formula1>"Yes,No,NA"</formula1>
    </dataValidation>
    <dataValidation type="list" allowBlank="1" showInputMessage="1" showErrorMessage="1" sqref="E17" xr:uid="{00000000-0002-0000-1100-000001000000}">
      <formula1>"Yes,No"</formula1>
    </dataValidation>
    <dataValidation type="list" allowBlank="1" showInputMessage="1" showErrorMessage="1" sqref="E5:E6 E20:E21 E34:E35" xr:uid="{00000000-0002-0000-1100-000002000000}">
      <formula1>"Yes,No,Cured in Moment"</formula1>
    </dataValidation>
  </dataValidation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FF00"/>
  </sheetPr>
  <dimension ref="B1:BF56"/>
  <sheetViews>
    <sheetView topLeftCell="A35" zoomScale="50" zoomScaleNormal="50" workbookViewId="0">
      <selection activeCell="E42" sqref="E4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0.57031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47.25" customHeight="1" thickBot="1">
      <c r="B3" s="210" t="s">
        <v>208</v>
      </c>
      <c r="C3" s="439" t="s">
        <v>325</v>
      </c>
      <c r="D3" s="440"/>
      <c r="E3" s="161"/>
      <c r="G3" s="220"/>
      <c r="H3" s="220"/>
      <c r="I3" s="220"/>
      <c r="J3" s="220"/>
    </row>
    <row r="4" spans="2:55" ht="84" customHeight="1" thickBot="1">
      <c r="B4" s="211" t="s">
        <v>275</v>
      </c>
      <c r="C4" s="441" t="s">
        <v>367</v>
      </c>
      <c r="D4" s="442"/>
      <c r="E4" s="150"/>
      <c r="G4" s="186" t="s">
        <v>11</v>
      </c>
      <c r="H4" s="443" t="str">
        <f>IF(COUNTIF(BB6,"0")&gt;0,"PASA","NO PASA")</f>
        <v>PASA</v>
      </c>
      <c r="I4" s="444"/>
      <c r="J4" s="445"/>
      <c r="BA4" s="221" t="s">
        <v>174</v>
      </c>
      <c r="BB4" s="123">
        <f>COUNTIF(E17:F23,BA4)</f>
        <v>0</v>
      </c>
      <c r="BC4" s="225" t="s">
        <v>262</v>
      </c>
    </row>
    <row r="5" spans="2:55" ht="45.75" customHeight="1" thickBot="1">
      <c r="B5" s="236" t="s">
        <v>203</v>
      </c>
      <c r="C5" s="446">
        <v>46274</v>
      </c>
      <c r="D5" s="447"/>
      <c r="G5" s="228" t="s">
        <v>198</v>
      </c>
      <c r="H5" s="185" t="s">
        <v>3</v>
      </c>
      <c r="I5" s="229" t="s">
        <v>4</v>
      </c>
      <c r="J5" s="230" t="s">
        <v>5</v>
      </c>
      <c r="BC5" s="225"/>
    </row>
    <row r="6" spans="2:55" ht="48" customHeight="1" thickBot="1">
      <c r="C6" s="122"/>
      <c r="E6" s="128"/>
      <c r="G6" s="187" t="s">
        <v>254</v>
      </c>
      <c r="H6" s="160">
        <v>31</v>
      </c>
      <c r="I6" s="160">
        <f>SUM(F25:F31)</f>
        <v>18</v>
      </c>
      <c r="J6" s="167">
        <f t="shared" ref="J6:J9" si="0">I6/H6</f>
        <v>0.58064516129032262</v>
      </c>
      <c r="BA6" s="221" t="s">
        <v>193</v>
      </c>
      <c r="BB6" s="123">
        <f>COUNTIF(E17:F23,BA6)</f>
        <v>0</v>
      </c>
      <c r="BC6" s="225" t="s">
        <v>263</v>
      </c>
    </row>
    <row r="7" spans="2:55" ht="48" customHeight="1" thickBot="1">
      <c r="B7" s="448" t="s">
        <v>243</v>
      </c>
      <c r="C7" s="451" t="s">
        <v>252</v>
      </c>
      <c r="D7" s="452"/>
      <c r="E7" s="164"/>
      <c r="G7" s="168" t="s">
        <v>199</v>
      </c>
      <c r="H7" s="169">
        <v>18</v>
      </c>
      <c r="I7" s="169">
        <f>SUM(F32:F35)</f>
        <v>12</v>
      </c>
      <c r="J7" s="170">
        <f t="shared" si="0"/>
        <v>0.66666666666666663</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5</v>
      </c>
      <c r="J11" s="170">
        <f t="shared" ref="J11:J12" si="1">I11/H11</f>
        <v>1</v>
      </c>
    </row>
    <row r="12" spans="2:55" ht="72.75" customHeight="1" thickBot="1">
      <c r="B12" s="219" t="s">
        <v>244</v>
      </c>
      <c r="C12" s="459" t="s">
        <v>246</v>
      </c>
      <c r="D12" s="460"/>
      <c r="E12" s="166"/>
      <c r="G12" s="198" t="s">
        <v>271</v>
      </c>
      <c r="H12" s="199">
        <f>SUM(H6:H11)</f>
        <v>117</v>
      </c>
      <c r="I12" s="199">
        <f>SUM(I6:I11)</f>
        <v>97</v>
      </c>
      <c r="J12" s="200">
        <f t="shared" si="1"/>
        <v>0.82905982905982911</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0.82905982905982911</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G20" s="475"/>
      <c r="H20" s="476"/>
      <c r="I20" s="476"/>
      <c r="J20" s="476"/>
      <c r="K20" s="477"/>
      <c r="V20" s="122"/>
      <c r="AY20" s="172" t="str">
        <f t="shared" si="2"/>
        <v>Yes</v>
      </c>
      <c r="BA20" s="222"/>
      <c r="BB20" s="122"/>
      <c r="BC20" s="122"/>
    </row>
    <row r="21" spans="2:58" s="172" customFormat="1" ht="45.95" customHeight="1">
      <c r="B21" s="449"/>
      <c r="C21" s="214">
        <v>5</v>
      </c>
      <c r="D21" s="215" t="s">
        <v>213</v>
      </c>
      <c r="E21" s="478" t="s">
        <v>266</v>
      </c>
      <c r="F21" s="479"/>
      <c r="G21" s="480"/>
      <c r="H21" s="481"/>
      <c r="I21" s="481"/>
      <c r="J21" s="481"/>
      <c r="K21" s="482"/>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497"/>
      <c r="H25" s="498"/>
      <c r="I25" s="498"/>
      <c r="J25" s="498"/>
      <c r="K25" s="499"/>
    </row>
    <row r="26" spans="2:58" ht="45.95" customHeight="1">
      <c r="B26" s="449"/>
      <c r="C26" s="127">
        <v>2</v>
      </c>
      <c r="D26" s="192" t="s">
        <v>219</v>
      </c>
      <c r="E26" s="140" t="s">
        <v>193</v>
      </c>
      <c r="F26" s="135">
        <f>IF(E26="Yes",5,0)</f>
        <v>0</v>
      </c>
      <c r="G26" s="500" t="s">
        <v>372</v>
      </c>
      <c r="H26" s="501"/>
      <c r="I26" s="501"/>
      <c r="J26" s="501"/>
      <c r="K26" s="502"/>
    </row>
    <row r="27" spans="2:58" ht="45.95" customHeight="1">
      <c r="B27" s="449"/>
      <c r="C27" s="143">
        <v>3</v>
      </c>
      <c r="D27" s="193" t="s">
        <v>216</v>
      </c>
      <c r="E27" s="177" t="s">
        <v>266</v>
      </c>
      <c r="F27" s="178">
        <f>IF(E27="Yes",5,0)</f>
        <v>5</v>
      </c>
      <c r="G27" s="503"/>
      <c r="H27" s="504"/>
      <c r="I27" s="504"/>
      <c r="J27" s="504"/>
      <c r="K27" s="505"/>
    </row>
    <row r="28" spans="2:58" ht="59.25" customHeight="1">
      <c r="B28" s="449"/>
      <c r="C28" s="127">
        <v>4</v>
      </c>
      <c r="D28" s="192" t="s">
        <v>217</v>
      </c>
      <c r="E28" s="140" t="s">
        <v>266</v>
      </c>
      <c r="F28" s="135">
        <f t="shared" ref="F28:F32" si="3">IF(E28="Yes",1,0)</f>
        <v>1</v>
      </c>
      <c r="G28" s="500"/>
      <c r="H28" s="501"/>
      <c r="I28" s="501"/>
      <c r="J28" s="501"/>
      <c r="K28" s="502"/>
    </row>
    <row r="29" spans="2:58" ht="50.25" customHeight="1">
      <c r="B29" s="449"/>
      <c r="C29" s="151">
        <v>5</v>
      </c>
      <c r="D29" s="193" t="s">
        <v>218</v>
      </c>
      <c r="E29" s="177" t="s">
        <v>193</v>
      </c>
      <c r="F29" s="178">
        <f t="shared" si="3"/>
        <v>0</v>
      </c>
      <c r="G29" s="509" t="s">
        <v>488</v>
      </c>
      <c r="H29" s="510"/>
      <c r="I29" s="510"/>
      <c r="J29" s="510"/>
      <c r="K29" s="511"/>
    </row>
    <row r="30" spans="2:58" ht="47.25" customHeight="1">
      <c r="B30" s="449"/>
      <c r="C30" s="131">
        <v>6</v>
      </c>
      <c r="D30" s="192" t="s">
        <v>220</v>
      </c>
      <c r="E30" s="140" t="s">
        <v>266</v>
      </c>
      <c r="F30" s="135">
        <f>IF(E30="Yes",7,0)</f>
        <v>7</v>
      </c>
      <c r="G30" s="563"/>
      <c r="H30" s="564"/>
      <c r="I30" s="564"/>
      <c r="J30" s="564"/>
      <c r="K30" s="565"/>
    </row>
    <row r="31" spans="2:58" ht="48.75" customHeight="1" thickBot="1">
      <c r="B31" s="450"/>
      <c r="C31" s="158">
        <v>7</v>
      </c>
      <c r="D31" s="194" t="s">
        <v>221</v>
      </c>
      <c r="E31" s="179" t="s">
        <v>193</v>
      </c>
      <c r="F31" s="180">
        <f>IF(E31="Yes",7,0)</f>
        <v>0</v>
      </c>
      <c r="G31" s="545" t="s">
        <v>487</v>
      </c>
      <c r="H31" s="546"/>
      <c r="I31" s="546"/>
      <c r="J31" s="546"/>
      <c r="K31" s="562"/>
    </row>
    <row r="32" spans="2:58" ht="48.75" customHeight="1">
      <c r="B32" s="448" t="s">
        <v>257</v>
      </c>
      <c r="C32" s="227">
        <v>1</v>
      </c>
      <c r="D32" s="206" t="s">
        <v>222</v>
      </c>
      <c r="E32" s="181" t="s">
        <v>193</v>
      </c>
      <c r="F32" s="182">
        <f t="shared" si="3"/>
        <v>0</v>
      </c>
      <c r="G32" s="512" t="s">
        <v>489</v>
      </c>
      <c r="H32" s="513"/>
      <c r="I32" s="513"/>
      <c r="J32" s="513"/>
      <c r="K32" s="514"/>
    </row>
    <row r="33" spans="2:11" ht="45.95" customHeight="1">
      <c r="B33" s="449"/>
      <c r="C33" s="143">
        <v>2</v>
      </c>
      <c r="D33" s="203" t="s">
        <v>223</v>
      </c>
      <c r="E33" s="177" t="s">
        <v>266</v>
      </c>
      <c r="F33" s="178">
        <f>IF(E33="Yes",5,0)</f>
        <v>5</v>
      </c>
      <c r="G33" s="503"/>
      <c r="H33" s="504"/>
      <c r="I33" s="504"/>
      <c r="J33" s="504"/>
      <c r="K33" s="505"/>
    </row>
    <row r="34" spans="2:11" ht="45.95" customHeight="1">
      <c r="B34" s="449"/>
      <c r="C34" s="131">
        <v>3</v>
      </c>
      <c r="D34" s="202" t="s">
        <v>224</v>
      </c>
      <c r="E34" s="140" t="s">
        <v>193</v>
      </c>
      <c r="F34" s="135">
        <f>IF(E34="Yes",5,0)</f>
        <v>0</v>
      </c>
      <c r="G34" s="500" t="s">
        <v>490</v>
      </c>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509"/>
      <c r="H37" s="510"/>
      <c r="I37" s="510"/>
      <c r="J37" s="510"/>
      <c r="K37" s="511"/>
    </row>
    <row r="38" spans="2:11" ht="50.25"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266</v>
      </c>
      <c r="F39" s="178">
        <f>IF(OR(E39="Yes",E39="NA"),7,0)</f>
        <v>7</v>
      </c>
      <c r="G39" s="195"/>
      <c r="H39" s="196"/>
      <c r="I39" s="196"/>
      <c r="J39" s="196"/>
      <c r="K39" s="197"/>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149"/>
      <c r="H41" s="147"/>
      <c r="I41" s="147"/>
      <c r="J41" s="147"/>
      <c r="K41" s="148"/>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90.75" customHeight="1">
      <c r="B44" s="449"/>
      <c r="C44" s="127">
        <v>4</v>
      </c>
      <c r="D44" s="202" t="s">
        <v>235</v>
      </c>
      <c r="E44" s="140" t="s">
        <v>193</v>
      </c>
      <c r="F44" s="135">
        <f>IF(E44="Yes",1,0)</f>
        <v>0</v>
      </c>
      <c r="G44" s="500" t="s">
        <v>491</v>
      </c>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266</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59.25" customHeight="1">
      <c r="B53" s="449"/>
      <c r="C53" s="151">
        <v>5</v>
      </c>
      <c r="D53" s="204" t="s">
        <v>234</v>
      </c>
      <c r="E53" s="189" t="s">
        <v>266</v>
      </c>
      <c r="F53" s="190">
        <f>IF(E53="Yes",1,0)</f>
        <v>1</v>
      </c>
      <c r="G53" s="503"/>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7">
    <mergeCell ref="G20:K20"/>
    <mergeCell ref="B46:B48"/>
    <mergeCell ref="G46:K46"/>
    <mergeCell ref="G47:K47"/>
    <mergeCell ref="G48:K48"/>
    <mergeCell ref="B41:B45"/>
    <mergeCell ref="G42:K42"/>
    <mergeCell ref="G43:K43"/>
    <mergeCell ref="B32:B35"/>
    <mergeCell ref="G32:K32"/>
    <mergeCell ref="G33:K33"/>
    <mergeCell ref="G34:K34"/>
    <mergeCell ref="G35:K35"/>
    <mergeCell ref="G44:K44"/>
    <mergeCell ref="G45:K45"/>
    <mergeCell ref="G23:K23"/>
    <mergeCell ref="B49:B53"/>
    <mergeCell ref="G49:K49"/>
    <mergeCell ref="G50:K50"/>
    <mergeCell ref="G51:K51"/>
    <mergeCell ref="G52:K52"/>
    <mergeCell ref="G53:K53"/>
    <mergeCell ref="B36:B40"/>
    <mergeCell ref="G36:K36"/>
    <mergeCell ref="G38:K38"/>
    <mergeCell ref="G40:K40"/>
    <mergeCell ref="B24:D24"/>
    <mergeCell ref="G24:K24"/>
    <mergeCell ref="B25:B31"/>
    <mergeCell ref="G25:K25"/>
    <mergeCell ref="G26:K26"/>
    <mergeCell ref="G27:K27"/>
    <mergeCell ref="G28:K28"/>
    <mergeCell ref="G30:K30"/>
    <mergeCell ref="G31:K31"/>
    <mergeCell ref="G29:K29"/>
    <mergeCell ref="G37:K37"/>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143" priority="9" operator="notContains" text="YES">
      <formula>ISERROR(SEARCH("YES",E17))</formula>
    </cfRule>
  </conditionalFormatting>
  <conditionalFormatting sqref="E43:E53">
    <cfRule type="containsText" dxfId="142" priority="7" operator="containsText" text="No">
      <formula>NOT(ISERROR(SEARCH("No",E43)))</formula>
    </cfRule>
  </conditionalFormatting>
  <conditionalFormatting sqref="E25:F42">
    <cfRule type="containsText" dxfId="141" priority="8" operator="containsText" text="No">
      <formula>NOT(ISERROR(SEARCH("No",E25)))</formula>
    </cfRule>
  </conditionalFormatting>
  <conditionalFormatting sqref="H4:J4">
    <cfRule type="cellIs" dxfId="140" priority="1" operator="equal">
      <formula>"NO PASA"</formula>
    </cfRule>
    <cfRule type="cellIs" dxfId="139" priority="2" operator="equal">
      <formula>"NO PASA"</formula>
    </cfRule>
    <cfRule type="cellIs" dxfId="138" priority="3" operator="equal">
      <formula>"PASA"</formula>
    </cfRule>
    <cfRule type="cellIs" dxfId="137" priority="4" operator="equal">
      <formula>"PASA"</formula>
    </cfRule>
    <cfRule type="cellIs" dxfId="136" priority="5" operator="equal">
      <formula>"NO PASA"</formula>
    </cfRule>
    <cfRule type="containsText" dxfId="135" priority="6" operator="containsText" text="PASA">
      <formula>NOT(ISERROR(SEARCH("PASA",H4)))</formula>
    </cfRule>
    <cfRule type="cellIs" dxfId="134" priority="13" operator="equal">
      <formula>$BC$7</formula>
    </cfRule>
    <cfRule type="cellIs" dxfId="133" priority="14" operator="equal">
      <formula>$BC$6</formula>
    </cfRule>
    <cfRule type="cellIs" dxfId="132" priority="15" operator="equal">
      <formula>$BC$4</formula>
    </cfRule>
  </conditionalFormatting>
  <conditionalFormatting sqref="I14">
    <cfRule type="cellIs" dxfId="131" priority="10" operator="greaterThanOrEqual">
      <formula>0.9</formula>
    </cfRule>
    <cfRule type="cellIs" dxfId="130" priority="11" operator="between">
      <formula>0.71</formula>
      <formula>0.9</formula>
    </cfRule>
    <cfRule type="cellIs" dxfId="129" priority="12" operator="lessThan">
      <formula>0.71</formula>
    </cfRule>
  </conditionalFormatting>
  <dataValidations count="3">
    <dataValidation type="list" allowBlank="1" showInputMessage="1" showErrorMessage="1" sqref="E38:E39 E50:E51" xr:uid="{00000000-0002-0000-1200-000000000000}">
      <formula1>"Yes,No,NA"</formula1>
    </dataValidation>
    <dataValidation type="list" allowBlank="1" showInputMessage="1" showErrorMessage="1" sqref="E52:E53 E25:E37 E40:E49" xr:uid="{00000000-0002-0000-1200-000001000000}">
      <formula1>"Yes,No"</formula1>
    </dataValidation>
    <dataValidation type="list" allowBlank="1" showInputMessage="1" showErrorMessage="1" sqref="E17:E23" xr:uid="{00000000-0002-0000-1200-000002000000}">
      <formula1>"Yes,No,Cured in Moment"</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FF00"/>
  </sheetPr>
  <dimension ref="B1:H103"/>
  <sheetViews>
    <sheetView topLeftCell="A4" zoomScale="50" zoomScaleNormal="50" workbookViewId="0">
      <selection activeCell="D11" sqref="D11"/>
    </sheetView>
  </sheetViews>
  <sheetFormatPr baseColWidth="10" defaultColWidth="8.85546875" defaultRowHeight="18"/>
  <cols>
    <col min="1" max="1" width="4.42578125" style="124" customWidth="1"/>
    <col min="2" max="2" width="44.14062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39.950000000000003" customHeight="1">
      <c r="B7" s="297" t="s">
        <v>392</v>
      </c>
      <c r="C7" s="130" t="s">
        <v>382</v>
      </c>
      <c r="D7" s="138">
        <v>46295</v>
      </c>
      <c r="E7" s="130"/>
      <c r="F7" s="134"/>
    </row>
    <row r="8" spans="2:8" ht="81.75" customHeight="1">
      <c r="B8" s="297" t="s">
        <v>492</v>
      </c>
      <c r="C8" s="130" t="s">
        <v>382</v>
      </c>
      <c r="D8" s="138">
        <v>46295</v>
      </c>
      <c r="E8" s="127"/>
      <c r="F8" s="135"/>
    </row>
    <row r="9" spans="2:8" ht="71.25" customHeight="1">
      <c r="B9" s="297" t="s">
        <v>493</v>
      </c>
      <c r="C9" s="130" t="s">
        <v>382</v>
      </c>
      <c r="D9" s="138">
        <v>46295</v>
      </c>
      <c r="E9" s="127"/>
      <c r="F9" s="136"/>
    </row>
    <row r="10" spans="2:8" ht="59.25" customHeight="1">
      <c r="B10" s="297" t="s">
        <v>494</v>
      </c>
      <c r="C10" s="130" t="s">
        <v>382</v>
      </c>
      <c r="D10" s="138">
        <v>46295</v>
      </c>
      <c r="E10" s="131"/>
      <c r="F10" s="136"/>
    </row>
    <row r="11" spans="2:8" ht="54">
      <c r="B11" s="297" t="s">
        <v>495</v>
      </c>
      <c r="C11" s="130" t="s">
        <v>382</v>
      </c>
      <c r="D11" s="138">
        <v>46295</v>
      </c>
      <c r="E11" s="131"/>
      <c r="F11" s="136"/>
    </row>
    <row r="12" spans="2:8" ht="67.5" customHeight="1">
      <c r="B12" s="297"/>
      <c r="C12" s="130"/>
      <c r="D12" s="131"/>
      <c r="E12" s="131"/>
      <c r="F12" s="136"/>
    </row>
    <row r="13" spans="2:8" s="126" customFormat="1">
      <c r="B13" s="297"/>
      <c r="C13" s="131"/>
      <c r="D13" s="131"/>
      <c r="E13" s="131"/>
      <c r="F13" s="136"/>
    </row>
    <row r="14" spans="2:8" ht="39.950000000000003" customHeight="1">
      <c r="B14" s="297"/>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268</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128" priority="1" stopIfTrue="1">
      <formula>IF($E31="NA",TRUE,FALSE)</formula>
    </cfRule>
  </conditionalFormatting>
  <dataValidations count="3">
    <dataValidation type="list" allowBlank="1" showInputMessage="1" showErrorMessage="1" sqref="E31" xr:uid="{00000000-0002-0000-1300-000000000000}">
      <formula1>"Yes,No,NA"</formula1>
    </dataValidation>
    <dataValidation type="list" allowBlank="1" showInputMessage="1" showErrorMessage="1" sqref="E17" xr:uid="{00000000-0002-0000-1300-000001000000}">
      <formula1>"Yes,No"</formula1>
    </dataValidation>
    <dataValidation type="list" allowBlank="1" showInputMessage="1" showErrorMessage="1" sqref="E5:E6 E20:E21 E34:E35" xr:uid="{00000000-0002-0000-1300-000002000000}">
      <formula1>"Yes,No,Cured in Moment"</formula1>
    </dataValidation>
  </dataValidation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70C0"/>
  </sheetPr>
  <dimension ref="B1:BF56"/>
  <sheetViews>
    <sheetView zoomScale="60" zoomScaleNormal="60" workbookViewId="0">
      <selection activeCell="B1" sqref="B1:D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20.570312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47.25" customHeight="1" thickBot="1">
      <c r="B3" s="210" t="s">
        <v>208</v>
      </c>
      <c r="C3" s="439" t="s">
        <v>328</v>
      </c>
      <c r="D3" s="440"/>
      <c r="E3" s="161"/>
      <c r="G3" s="220"/>
      <c r="H3" s="220"/>
      <c r="I3" s="220"/>
      <c r="J3" s="220"/>
    </row>
    <row r="4" spans="2:55" ht="80.25" customHeight="1" thickBot="1">
      <c r="B4" s="211" t="s">
        <v>275</v>
      </c>
      <c r="C4" s="441" t="s">
        <v>355</v>
      </c>
      <c r="D4" s="442"/>
      <c r="E4" s="150"/>
      <c r="G4" s="186" t="s">
        <v>11</v>
      </c>
      <c r="H4" s="443" t="str">
        <f>IF(COUNTIF(BB6,"0")&gt;0,"PASA","NO PASA")</f>
        <v>PASA</v>
      </c>
      <c r="I4" s="444"/>
      <c r="J4" s="445"/>
      <c r="BA4" s="221" t="s">
        <v>174</v>
      </c>
      <c r="BB4" s="123">
        <f>COUNTIF(E17:F23,BA4)</f>
        <v>0</v>
      </c>
      <c r="BC4" s="225" t="s">
        <v>262</v>
      </c>
    </row>
    <row r="5" spans="2:55" ht="38.25" customHeight="1" thickBot="1">
      <c r="B5" s="236" t="s">
        <v>203</v>
      </c>
      <c r="C5" s="446">
        <v>46272</v>
      </c>
      <c r="D5" s="447"/>
      <c r="G5" s="228" t="s">
        <v>198</v>
      </c>
      <c r="H5" s="185" t="s">
        <v>3</v>
      </c>
      <c r="I5" s="229" t="s">
        <v>4</v>
      </c>
      <c r="J5" s="230" t="s">
        <v>5</v>
      </c>
      <c r="BC5" s="225"/>
    </row>
    <row r="6" spans="2:55" ht="48" customHeight="1" thickBot="1">
      <c r="C6" s="122"/>
      <c r="E6" s="128"/>
      <c r="G6" s="187" t="s">
        <v>254</v>
      </c>
      <c r="H6" s="160">
        <v>31</v>
      </c>
      <c r="I6" s="160">
        <f>SUM(F25:F31)</f>
        <v>26</v>
      </c>
      <c r="J6" s="167">
        <f t="shared" ref="J6:J9" si="0">I6/H6</f>
        <v>0.83870967741935487</v>
      </c>
      <c r="BA6" s="221" t="s">
        <v>193</v>
      </c>
      <c r="BB6" s="123">
        <f>COUNTIF(E17:F23,BA6)</f>
        <v>0</v>
      </c>
      <c r="BC6" s="225" t="s">
        <v>263</v>
      </c>
    </row>
    <row r="7" spans="2:55" ht="48" customHeight="1" thickBot="1">
      <c r="B7" s="448" t="s">
        <v>243</v>
      </c>
      <c r="C7" s="451" t="s">
        <v>252</v>
      </c>
      <c r="D7" s="452"/>
      <c r="E7" s="164"/>
      <c r="G7" s="168" t="s">
        <v>199</v>
      </c>
      <c r="H7" s="169">
        <v>18</v>
      </c>
      <c r="I7" s="169">
        <f>SUM(F32:F35)</f>
        <v>13</v>
      </c>
      <c r="J7" s="170">
        <f t="shared" si="0"/>
        <v>0.72222222222222221</v>
      </c>
      <c r="BA7" s="224" t="s">
        <v>261</v>
      </c>
      <c r="BB7" s="123">
        <f>COUNTIF(E17:F23,BA7)</f>
        <v>0</v>
      </c>
      <c r="BC7" s="225" t="s">
        <v>264</v>
      </c>
    </row>
    <row r="8" spans="2:55" ht="48" customHeight="1" thickBot="1">
      <c r="B8" s="449"/>
      <c r="C8" s="453" t="s">
        <v>253</v>
      </c>
      <c r="D8" s="454"/>
      <c r="E8" s="165"/>
      <c r="G8" s="187" t="s">
        <v>200</v>
      </c>
      <c r="H8" s="160">
        <v>31</v>
      </c>
      <c r="I8" s="160">
        <f>SUM(F36:F40)</f>
        <v>26</v>
      </c>
      <c r="J8" s="167">
        <f t="shared" si="0"/>
        <v>0.83870967741935487</v>
      </c>
      <c r="R8" s="237"/>
    </row>
    <row r="9" spans="2:55" ht="63" customHeight="1" thickBot="1">
      <c r="B9" s="450"/>
      <c r="C9" s="455"/>
      <c r="D9" s="456"/>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4</v>
      </c>
      <c r="J11" s="170">
        <f t="shared" ref="J11:J12" si="1">I11/H11</f>
        <v>0.8</v>
      </c>
    </row>
    <row r="12" spans="2:55" ht="72.75" customHeight="1" thickBot="1">
      <c r="B12" s="219" t="s">
        <v>244</v>
      </c>
      <c r="C12" s="459" t="s">
        <v>246</v>
      </c>
      <c r="D12" s="460"/>
      <c r="E12" s="166"/>
      <c r="G12" s="198" t="s">
        <v>271</v>
      </c>
      <c r="H12" s="199">
        <f>SUM(H6:H11)</f>
        <v>117</v>
      </c>
      <c r="I12" s="199">
        <f>SUM(I6:I11)</f>
        <v>100</v>
      </c>
      <c r="J12" s="200">
        <f t="shared" si="1"/>
        <v>0.85470085470085466</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0.85470085470085466</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G20" s="475"/>
      <c r="H20" s="476"/>
      <c r="I20" s="476"/>
      <c r="J20" s="476"/>
      <c r="K20" s="477"/>
      <c r="V20" s="122"/>
      <c r="AY20" s="172" t="str">
        <f t="shared" si="2"/>
        <v>Yes</v>
      </c>
      <c r="BA20" s="222"/>
      <c r="BB20" s="122"/>
      <c r="BC20" s="122"/>
    </row>
    <row r="21" spans="2:58" s="172" customFormat="1" ht="45.95" customHeight="1">
      <c r="B21" s="449"/>
      <c r="C21" s="214">
        <v>5</v>
      </c>
      <c r="D21" s="215" t="s">
        <v>213</v>
      </c>
      <c r="E21" s="478" t="s">
        <v>266</v>
      </c>
      <c r="F21" s="479"/>
      <c r="G21" s="480"/>
      <c r="H21" s="481"/>
      <c r="I21" s="481"/>
      <c r="J21" s="481"/>
      <c r="K21" s="482"/>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580"/>
      <c r="H25" s="581"/>
      <c r="I25" s="581"/>
      <c r="J25" s="581"/>
      <c r="K25" s="582"/>
    </row>
    <row r="26" spans="2:58" ht="45.95" customHeight="1">
      <c r="B26" s="449"/>
      <c r="C26" s="127">
        <v>2</v>
      </c>
      <c r="D26" s="192" t="s">
        <v>219</v>
      </c>
      <c r="E26" s="140" t="s">
        <v>193</v>
      </c>
      <c r="F26" s="135">
        <f>IF(E26="Yes",5,0)</f>
        <v>0</v>
      </c>
      <c r="G26" s="592" t="s">
        <v>429</v>
      </c>
      <c r="H26" s="593"/>
      <c r="I26" s="593"/>
      <c r="J26" s="593"/>
      <c r="K26" s="594"/>
    </row>
    <row r="27" spans="2:58" ht="59.25" customHeight="1">
      <c r="B27" s="449"/>
      <c r="C27" s="143">
        <v>3</v>
      </c>
      <c r="D27" s="193" t="s">
        <v>216</v>
      </c>
      <c r="E27" s="177" t="s">
        <v>266</v>
      </c>
      <c r="F27" s="178">
        <f>IF(E27="Yes",5,0)</f>
        <v>5</v>
      </c>
      <c r="G27" s="503"/>
      <c r="H27" s="504"/>
      <c r="I27" s="504"/>
      <c r="J27" s="504"/>
      <c r="K27" s="505"/>
    </row>
    <row r="28" spans="2:58" ht="51.75" customHeight="1">
      <c r="B28" s="449"/>
      <c r="C28" s="127">
        <v>4</v>
      </c>
      <c r="D28" s="192" t="s">
        <v>217</v>
      </c>
      <c r="E28" s="140" t="s">
        <v>266</v>
      </c>
      <c r="F28" s="135">
        <f t="shared" ref="F28:F32" si="3">IF(E28="Yes",1,0)</f>
        <v>1</v>
      </c>
      <c r="G28" s="500"/>
      <c r="H28" s="501"/>
      <c r="I28" s="501"/>
      <c r="J28" s="501"/>
      <c r="K28" s="502"/>
    </row>
    <row r="29" spans="2:58" ht="50.25" customHeight="1">
      <c r="B29" s="449"/>
      <c r="C29" s="151">
        <v>5</v>
      </c>
      <c r="D29" s="193" t="s">
        <v>218</v>
      </c>
      <c r="E29" s="177" t="s">
        <v>266</v>
      </c>
      <c r="F29" s="178">
        <f t="shared" si="3"/>
        <v>1</v>
      </c>
      <c r="G29" s="509"/>
      <c r="H29" s="510"/>
      <c r="I29" s="510"/>
      <c r="J29" s="510"/>
      <c r="K29" s="511"/>
    </row>
    <row r="30" spans="2:58" ht="47.25" customHeight="1">
      <c r="B30" s="449"/>
      <c r="C30" s="131">
        <v>6</v>
      </c>
      <c r="D30" s="192" t="s">
        <v>220</v>
      </c>
      <c r="E30" s="140" t="s">
        <v>266</v>
      </c>
      <c r="F30" s="135">
        <f>IF(E30="Yes",7,0)</f>
        <v>7</v>
      </c>
      <c r="G30" s="491"/>
      <c r="H30" s="492"/>
      <c r="I30" s="492"/>
      <c r="J30" s="492"/>
      <c r="K30" s="493"/>
    </row>
    <row r="31" spans="2:58" ht="48.75" customHeight="1" thickBot="1">
      <c r="B31" s="450"/>
      <c r="C31" s="158">
        <v>7</v>
      </c>
      <c r="D31" s="194" t="s">
        <v>221</v>
      </c>
      <c r="E31" s="179" t="s">
        <v>266</v>
      </c>
      <c r="F31" s="180">
        <f>IF(E31="Yes",7,0)</f>
        <v>7</v>
      </c>
      <c r="G31" s="155"/>
      <c r="H31" s="156"/>
      <c r="I31" s="156"/>
      <c r="J31" s="156"/>
      <c r="K31" s="157"/>
    </row>
    <row r="32" spans="2:58" ht="48.75" customHeight="1">
      <c r="B32" s="448" t="s">
        <v>257</v>
      </c>
      <c r="C32" s="227">
        <v>1</v>
      </c>
      <c r="D32" s="206" t="s">
        <v>222</v>
      </c>
      <c r="E32" s="181" t="s">
        <v>266</v>
      </c>
      <c r="F32" s="182">
        <f t="shared" si="3"/>
        <v>1</v>
      </c>
      <c r="G32" s="512"/>
      <c r="H32" s="513"/>
      <c r="I32" s="513"/>
      <c r="J32" s="513"/>
      <c r="K32" s="514"/>
    </row>
    <row r="33" spans="2:11" ht="45.95" customHeight="1">
      <c r="B33" s="449"/>
      <c r="C33" s="143">
        <v>2</v>
      </c>
      <c r="D33" s="203" t="s">
        <v>223</v>
      </c>
      <c r="E33" s="177" t="s">
        <v>193</v>
      </c>
      <c r="F33" s="178">
        <f>IF(E33="Yes",5,0)</f>
        <v>0</v>
      </c>
      <c r="G33" s="595" t="s">
        <v>430</v>
      </c>
      <c r="H33" s="596"/>
      <c r="I33" s="596"/>
      <c r="J33" s="596"/>
      <c r="K33" s="597"/>
    </row>
    <row r="34" spans="2:11" ht="45.95" customHeight="1">
      <c r="B34" s="449"/>
      <c r="C34" s="131">
        <v>3</v>
      </c>
      <c r="D34" s="202" t="s">
        <v>224</v>
      </c>
      <c r="E34" s="140" t="s">
        <v>266</v>
      </c>
      <c r="F34" s="135">
        <f>IF(E34="Yes",5,0)</f>
        <v>5</v>
      </c>
      <c r="G34" s="500"/>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195"/>
      <c r="H37" s="196"/>
      <c r="I37" s="196"/>
      <c r="J37" s="196"/>
      <c r="K37" s="197"/>
    </row>
    <row r="38" spans="2:11" ht="50.25"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266</v>
      </c>
      <c r="F39" s="178">
        <f>IF(OR(E39="Yes",E39="NA"),7,0)</f>
        <v>7</v>
      </c>
      <c r="G39" s="195"/>
      <c r="H39" s="196"/>
      <c r="I39" s="196"/>
      <c r="J39" s="196"/>
      <c r="K39" s="197"/>
    </row>
    <row r="40" spans="2:11" ht="45.95" customHeight="1" thickBot="1">
      <c r="B40" s="449"/>
      <c r="C40" s="132">
        <v>5</v>
      </c>
      <c r="D40" s="209" t="s">
        <v>227</v>
      </c>
      <c r="E40" s="142" t="s">
        <v>193</v>
      </c>
      <c r="F40" s="137">
        <f>IF(E40="Yes",5,0)</f>
        <v>0</v>
      </c>
      <c r="G40" s="589" t="s">
        <v>431</v>
      </c>
      <c r="H40" s="590"/>
      <c r="I40" s="590"/>
      <c r="J40" s="590"/>
      <c r="K40" s="591"/>
    </row>
    <row r="41" spans="2:11" ht="56.25" customHeight="1">
      <c r="B41" s="448" t="s">
        <v>255</v>
      </c>
      <c r="C41" s="174">
        <v>1</v>
      </c>
      <c r="D41" s="201" t="s">
        <v>229</v>
      </c>
      <c r="E41" s="175" t="s">
        <v>266</v>
      </c>
      <c r="F41" s="176">
        <f>IF(E41="Yes",5,0)</f>
        <v>5</v>
      </c>
      <c r="G41" s="556"/>
      <c r="H41" s="557"/>
      <c r="I41" s="557"/>
      <c r="J41" s="557"/>
      <c r="K41" s="558"/>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193</v>
      </c>
      <c r="F44" s="135">
        <f>IF(E44="Yes",1,0)</f>
        <v>0</v>
      </c>
      <c r="G44" s="598" t="s">
        <v>432</v>
      </c>
      <c r="H44" s="599"/>
      <c r="I44" s="599"/>
      <c r="J44" s="599"/>
      <c r="K44" s="600"/>
    </row>
    <row r="45" spans="2:11" ht="76.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315</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193</v>
      </c>
      <c r="F53" s="190">
        <f>IF(E53="Yes",1,0)</f>
        <v>0</v>
      </c>
      <c r="G53" s="503" t="s">
        <v>433</v>
      </c>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6">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E23:F23"/>
    <mergeCell ref="G23:K23"/>
    <mergeCell ref="B36:B40"/>
    <mergeCell ref="G36:K36"/>
    <mergeCell ref="G38:K38"/>
    <mergeCell ref="G40:K40"/>
    <mergeCell ref="B24:D24"/>
    <mergeCell ref="G24:K24"/>
    <mergeCell ref="B25:B31"/>
    <mergeCell ref="G25:K25"/>
    <mergeCell ref="G26:K26"/>
    <mergeCell ref="G27:K27"/>
    <mergeCell ref="G28:K28"/>
    <mergeCell ref="G29:K29"/>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G20:K20"/>
    <mergeCell ref="G30:K30"/>
    <mergeCell ref="G41:K41"/>
    <mergeCell ref="I14:J14"/>
    <mergeCell ref="B1:D2"/>
    <mergeCell ref="C3:D3"/>
    <mergeCell ref="C4:D4"/>
    <mergeCell ref="H4:J4"/>
    <mergeCell ref="C5:D5"/>
    <mergeCell ref="B7:B9"/>
    <mergeCell ref="C7:D7"/>
    <mergeCell ref="C8:D9"/>
    <mergeCell ref="C11:D11"/>
    <mergeCell ref="C12:D12"/>
    <mergeCell ref="C13:D13"/>
    <mergeCell ref="C14:D14"/>
  </mergeCells>
  <conditionalFormatting sqref="E17:E23">
    <cfRule type="notContainsText" dxfId="127" priority="9" operator="notContains" text="YES">
      <formula>ISERROR(SEARCH("YES",E17))</formula>
    </cfRule>
  </conditionalFormatting>
  <conditionalFormatting sqref="E43:E53">
    <cfRule type="containsText" dxfId="126" priority="7" operator="containsText" text="No">
      <formula>NOT(ISERROR(SEARCH("No",E43)))</formula>
    </cfRule>
  </conditionalFormatting>
  <conditionalFormatting sqref="E25:F42">
    <cfRule type="containsText" dxfId="125" priority="8" operator="containsText" text="No">
      <formula>NOT(ISERROR(SEARCH("No",E25)))</formula>
    </cfRule>
  </conditionalFormatting>
  <conditionalFormatting sqref="H4:J4">
    <cfRule type="cellIs" dxfId="124" priority="1" operator="equal">
      <formula>"NO PASA"</formula>
    </cfRule>
    <cfRule type="cellIs" dxfId="123" priority="2" operator="equal">
      <formula>"NO PASA"</formula>
    </cfRule>
    <cfRule type="cellIs" dxfId="122" priority="3" operator="equal">
      <formula>"PASA"</formula>
    </cfRule>
    <cfRule type="cellIs" dxfId="121" priority="4" operator="equal">
      <formula>"PASA"</formula>
    </cfRule>
    <cfRule type="cellIs" dxfId="120" priority="5" operator="equal">
      <formula>"NO PASA"</formula>
    </cfRule>
    <cfRule type="containsText" dxfId="119" priority="6" operator="containsText" text="PASA">
      <formula>NOT(ISERROR(SEARCH("PASA",H4)))</formula>
    </cfRule>
    <cfRule type="cellIs" dxfId="118" priority="13" operator="equal">
      <formula>$BC$7</formula>
    </cfRule>
    <cfRule type="cellIs" dxfId="117" priority="14" operator="equal">
      <formula>$BC$6</formula>
    </cfRule>
    <cfRule type="cellIs" dxfId="116" priority="15" operator="equal">
      <formula>$BC$4</formula>
    </cfRule>
  </conditionalFormatting>
  <conditionalFormatting sqref="I14">
    <cfRule type="cellIs" dxfId="115" priority="10" operator="greaterThanOrEqual">
      <formula>0.9</formula>
    </cfRule>
    <cfRule type="cellIs" dxfId="114" priority="11" operator="between">
      <formula>0.71</formula>
      <formula>0.9</formula>
    </cfRule>
    <cfRule type="cellIs" dxfId="113" priority="12" operator="lessThan">
      <formula>0.71</formula>
    </cfRule>
  </conditionalFormatting>
  <dataValidations count="3">
    <dataValidation type="list" allowBlank="1" showInputMessage="1" showErrorMessage="1" sqref="E38:E39 E50:E51" xr:uid="{00000000-0002-0000-1800-000000000000}">
      <formula1>"Yes,No,NA"</formula1>
    </dataValidation>
    <dataValidation type="list" allowBlank="1" showInputMessage="1" showErrorMessage="1" sqref="E52:E53 E25:E37 E40:E49" xr:uid="{00000000-0002-0000-1800-000001000000}">
      <formula1>"Yes,No"</formula1>
    </dataValidation>
    <dataValidation type="list" allowBlank="1" showInputMessage="1" showErrorMessage="1" sqref="E17:E23" xr:uid="{00000000-0002-0000-1800-000002000000}">
      <formula1>"Yes,No,Cured in Moment"</formula1>
    </dataValidation>
  </dataValidation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0070C0"/>
  </sheetPr>
  <dimension ref="B1:H103"/>
  <sheetViews>
    <sheetView topLeftCell="A3" zoomScale="50" zoomScaleNormal="50" workbookViewId="0">
      <selection activeCell="C11" sqref="C11:D11"/>
    </sheetView>
  </sheetViews>
  <sheetFormatPr baseColWidth="10" defaultColWidth="8.85546875" defaultRowHeight="18"/>
  <cols>
    <col min="1" max="1" width="4.42578125" style="124" customWidth="1"/>
    <col min="2" max="2" width="49.8554687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95.25" customHeight="1">
      <c r="B7" s="300" t="s">
        <v>434</v>
      </c>
      <c r="C7" s="130" t="s">
        <v>383</v>
      </c>
      <c r="D7" s="138" t="s">
        <v>391</v>
      </c>
      <c r="E7" s="130"/>
      <c r="F7" s="134"/>
    </row>
    <row r="8" spans="2:8" ht="89.25" customHeight="1">
      <c r="B8" s="301" t="s">
        <v>435</v>
      </c>
      <c r="C8" s="130" t="s">
        <v>383</v>
      </c>
      <c r="D8" s="138">
        <v>46295</v>
      </c>
      <c r="E8" s="127"/>
      <c r="F8" s="135"/>
    </row>
    <row r="9" spans="2:8" ht="66.75" customHeight="1">
      <c r="B9" s="302" t="s">
        <v>436</v>
      </c>
      <c r="C9" s="130" t="s">
        <v>383</v>
      </c>
      <c r="D9" s="138">
        <v>46295</v>
      </c>
      <c r="E9" s="127"/>
      <c r="F9" s="136"/>
    </row>
    <row r="10" spans="2:8" ht="77.25" customHeight="1">
      <c r="B10" s="302" t="s">
        <v>437</v>
      </c>
      <c r="C10" s="130" t="s">
        <v>383</v>
      </c>
      <c r="D10" s="138">
        <v>46295</v>
      </c>
      <c r="E10" s="131"/>
      <c r="F10" s="136"/>
    </row>
    <row r="11" spans="2:8" ht="65.25" customHeight="1">
      <c r="B11" s="302" t="s">
        <v>438</v>
      </c>
      <c r="C11" s="130" t="s">
        <v>383</v>
      </c>
      <c r="D11" s="138">
        <v>46295</v>
      </c>
      <c r="E11" s="131"/>
      <c r="F11" s="136"/>
    </row>
    <row r="12" spans="2:8" ht="44.1" customHeight="1">
      <c r="B12" s="302"/>
      <c r="C12" s="131"/>
      <c r="D12" s="131"/>
      <c r="E12" s="131"/>
      <c r="F12" s="136"/>
    </row>
    <row r="13" spans="2:8" s="126" customFormat="1">
      <c r="B13" s="302"/>
      <c r="C13" s="131"/>
      <c r="D13" s="307"/>
      <c r="E13" s="131"/>
      <c r="F13" s="136"/>
    </row>
    <row r="14" spans="2:8" ht="62.25" customHeight="1">
      <c r="B14" s="300"/>
      <c r="C14" s="131"/>
      <c r="D14" s="131"/>
      <c r="E14" s="131"/>
      <c r="F14" s="136"/>
    </row>
    <row r="15" spans="2:8" ht="39.950000000000003" customHeight="1">
      <c r="B15" s="302"/>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268</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112" priority="1" stopIfTrue="1">
      <formula>IF($E31="NA",TRUE,FALSE)</formula>
    </cfRule>
  </conditionalFormatting>
  <dataValidations count="3">
    <dataValidation type="list" allowBlank="1" showInputMessage="1" showErrorMessage="1" sqref="E31" xr:uid="{00000000-0002-0000-1900-000000000000}">
      <formula1>"Yes,No,NA"</formula1>
    </dataValidation>
    <dataValidation type="list" allowBlank="1" showInputMessage="1" showErrorMessage="1" sqref="E17" xr:uid="{00000000-0002-0000-1900-000001000000}">
      <formula1>"Yes,No"</formula1>
    </dataValidation>
    <dataValidation type="list" allowBlank="1" showInputMessage="1" showErrorMessage="1" sqref="E5:E6 E20:E21 E34:E35" xr:uid="{00000000-0002-0000-1900-000002000000}">
      <formula1>"Yes,No,Cured in Moment"</formula1>
    </dataValidation>
  </dataValidation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2F6C0"/>
  </sheetPr>
  <dimension ref="B1:BF56"/>
  <sheetViews>
    <sheetView topLeftCell="A28" zoomScale="60" zoomScaleNormal="60" workbookViewId="0">
      <selection activeCell="G22" sqref="G22:K2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19.85546875" style="124"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51" customHeight="1" thickBot="1">
      <c r="B3" s="210" t="s">
        <v>208</v>
      </c>
      <c r="C3" s="439" t="s">
        <v>329</v>
      </c>
      <c r="D3" s="440"/>
      <c r="E3" s="161"/>
      <c r="G3" s="220"/>
      <c r="H3" s="220"/>
      <c r="I3" s="220"/>
      <c r="J3" s="220"/>
    </row>
    <row r="4" spans="2:55" ht="78.75" customHeight="1" thickBot="1">
      <c r="B4" s="211" t="s">
        <v>275</v>
      </c>
      <c r="C4" s="441" t="s">
        <v>355</v>
      </c>
      <c r="D4" s="442"/>
      <c r="E4" s="150"/>
      <c r="G4" s="186" t="s">
        <v>11</v>
      </c>
      <c r="H4" s="443" t="str">
        <f>IF(COUNTIF(BB6,"0")&gt;0,"PASA","NO PASA")</f>
        <v>PASA</v>
      </c>
      <c r="I4" s="444"/>
      <c r="J4" s="445"/>
      <c r="BA4" s="221" t="s">
        <v>174</v>
      </c>
      <c r="BB4" s="123">
        <f>COUNTIF(E17:F23,BA4)</f>
        <v>0</v>
      </c>
      <c r="BC4" s="225" t="s">
        <v>262</v>
      </c>
    </row>
    <row r="5" spans="2:55" ht="44.25" customHeight="1" thickBot="1">
      <c r="B5" s="236" t="s">
        <v>203</v>
      </c>
      <c r="C5" s="446">
        <v>46272</v>
      </c>
      <c r="D5" s="447"/>
      <c r="G5" s="228" t="s">
        <v>198</v>
      </c>
      <c r="H5" s="185" t="s">
        <v>3</v>
      </c>
      <c r="I5" s="229" t="s">
        <v>4</v>
      </c>
      <c r="J5" s="230" t="s">
        <v>5</v>
      </c>
      <c r="BC5" s="225"/>
    </row>
    <row r="6" spans="2:55" ht="48" customHeight="1" thickBot="1">
      <c r="C6" s="122"/>
      <c r="E6" s="128"/>
      <c r="G6" s="187" t="s">
        <v>254</v>
      </c>
      <c r="H6" s="160">
        <v>31</v>
      </c>
      <c r="I6" s="160">
        <f>SUM(F25:F31)</f>
        <v>21</v>
      </c>
      <c r="J6" s="167">
        <f t="shared" ref="J6:J9" si="0">I6/H6</f>
        <v>0.67741935483870963</v>
      </c>
      <c r="BA6" s="221" t="s">
        <v>193</v>
      </c>
      <c r="BB6" s="123">
        <f>COUNTIF(E17:F23,BA6)</f>
        <v>0</v>
      </c>
      <c r="BC6" s="225" t="s">
        <v>263</v>
      </c>
    </row>
    <row r="7" spans="2:55" ht="48" customHeight="1" thickBot="1">
      <c r="B7" s="448" t="s">
        <v>243</v>
      </c>
      <c r="C7" s="451" t="s">
        <v>252</v>
      </c>
      <c r="D7" s="452"/>
      <c r="E7" s="164"/>
      <c r="G7" s="168" t="s">
        <v>199</v>
      </c>
      <c r="H7" s="169">
        <v>18</v>
      </c>
      <c r="I7" s="169">
        <f>SUM(F32:F35)</f>
        <v>13</v>
      </c>
      <c r="J7" s="170">
        <f t="shared" si="0"/>
        <v>0.72222222222222221</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13</v>
      </c>
      <c r="J9" s="170">
        <f t="shared" si="0"/>
        <v>0.68421052631578949</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4</v>
      </c>
      <c r="J11" s="170">
        <f t="shared" ref="J11:J12" si="1">I11/H11</f>
        <v>0.8</v>
      </c>
    </row>
    <row r="12" spans="2:55" ht="72.75" customHeight="1" thickBot="1">
      <c r="B12" s="219" t="s">
        <v>244</v>
      </c>
      <c r="C12" s="459" t="s">
        <v>246</v>
      </c>
      <c r="D12" s="460"/>
      <c r="E12" s="166"/>
      <c r="G12" s="198" t="s">
        <v>271</v>
      </c>
      <c r="H12" s="199">
        <f>SUM(H6:H11)</f>
        <v>117</v>
      </c>
      <c r="I12" s="199">
        <f>SUM(I6:I11)</f>
        <v>95</v>
      </c>
      <c r="J12" s="200">
        <f t="shared" si="1"/>
        <v>0.81196581196581197</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0.81196581196581197</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G20" s="475"/>
      <c r="H20" s="476"/>
      <c r="I20" s="476"/>
      <c r="J20" s="476"/>
      <c r="K20" s="477"/>
      <c r="V20" s="122"/>
      <c r="AY20" s="172" t="str">
        <f t="shared" si="2"/>
        <v>Yes</v>
      </c>
      <c r="BA20" s="222"/>
      <c r="BB20" s="122"/>
      <c r="BC20" s="122"/>
    </row>
    <row r="21" spans="2:58" s="172" customFormat="1" ht="45.95" customHeight="1">
      <c r="B21" s="449"/>
      <c r="C21" s="214">
        <v>5</v>
      </c>
      <c r="D21" s="215" t="s">
        <v>213</v>
      </c>
      <c r="E21" s="478" t="s">
        <v>266</v>
      </c>
      <c r="F21" s="479"/>
      <c r="G21" s="480"/>
      <c r="H21" s="481"/>
      <c r="I21" s="481"/>
      <c r="J21" s="481"/>
      <c r="K21" s="482"/>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524"/>
      <c r="H25" s="525"/>
      <c r="I25" s="525"/>
      <c r="J25" s="525"/>
      <c r="K25" s="526"/>
    </row>
    <row r="26" spans="2:58" ht="45.95" customHeight="1">
      <c r="B26" s="449"/>
      <c r="C26" s="127">
        <v>2</v>
      </c>
      <c r="D26" s="192" t="s">
        <v>219</v>
      </c>
      <c r="E26" s="140" t="s">
        <v>193</v>
      </c>
      <c r="F26" s="135">
        <f>IF(E26="Yes",5,0)</f>
        <v>0</v>
      </c>
      <c r="G26" s="500" t="s">
        <v>498</v>
      </c>
      <c r="H26" s="501"/>
      <c r="I26" s="501"/>
      <c r="J26" s="501"/>
      <c r="K26" s="502"/>
    </row>
    <row r="27" spans="2:58" ht="45.95" customHeight="1">
      <c r="B27" s="449"/>
      <c r="C27" s="143">
        <v>3</v>
      </c>
      <c r="D27" s="193" t="s">
        <v>216</v>
      </c>
      <c r="E27" s="177" t="s">
        <v>193</v>
      </c>
      <c r="F27" s="178">
        <f>IF(E27="Yes",5,0)</f>
        <v>0</v>
      </c>
      <c r="G27" s="503" t="s">
        <v>497</v>
      </c>
      <c r="H27" s="504"/>
      <c r="I27" s="504"/>
      <c r="J27" s="504"/>
      <c r="K27" s="505"/>
    </row>
    <row r="28" spans="2:58" ht="51.75" customHeight="1">
      <c r="B28" s="449"/>
      <c r="C28" s="127">
        <v>4</v>
      </c>
      <c r="D28" s="192" t="s">
        <v>217</v>
      </c>
      <c r="E28" s="140" t="s">
        <v>266</v>
      </c>
      <c r="F28" s="135">
        <f t="shared" ref="F28:F32" si="3">IF(E28="Yes",1,0)</f>
        <v>1</v>
      </c>
      <c r="G28" s="500"/>
      <c r="H28" s="501"/>
      <c r="I28" s="501"/>
      <c r="J28" s="501"/>
      <c r="K28" s="502"/>
    </row>
    <row r="29" spans="2:58" ht="50.25" customHeight="1">
      <c r="B29" s="449"/>
      <c r="C29" s="151">
        <v>5</v>
      </c>
      <c r="D29" s="193" t="s">
        <v>218</v>
      </c>
      <c r="E29" s="177" t="s">
        <v>266</v>
      </c>
      <c r="F29" s="178">
        <f t="shared" si="3"/>
        <v>1</v>
      </c>
      <c r="G29" s="509"/>
      <c r="H29" s="510"/>
      <c r="I29" s="510"/>
      <c r="J29" s="510"/>
      <c r="K29" s="511"/>
    </row>
    <row r="30" spans="2:58" ht="47.25" customHeight="1">
      <c r="B30" s="449"/>
      <c r="C30" s="131">
        <v>6</v>
      </c>
      <c r="D30" s="192" t="s">
        <v>220</v>
      </c>
      <c r="E30" s="140" t="s">
        <v>266</v>
      </c>
      <c r="F30" s="135">
        <f>IF(E30="Yes",7,0)</f>
        <v>7</v>
      </c>
      <c r="G30" s="500"/>
      <c r="H30" s="501"/>
      <c r="I30" s="501"/>
      <c r="J30" s="501"/>
      <c r="K30" s="502"/>
    </row>
    <row r="31" spans="2:58" ht="48.75" customHeight="1" thickBot="1">
      <c r="B31" s="450"/>
      <c r="C31" s="158">
        <v>7</v>
      </c>
      <c r="D31" s="194" t="s">
        <v>221</v>
      </c>
      <c r="E31" s="179" t="s">
        <v>266</v>
      </c>
      <c r="F31" s="180">
        <f>IF(E31="Yes",7,0)</f>
        <v>7</v>
      </c>
      <c r="G31" s="155"/>
      <c r="H31" s="156"/>
      <c r="I31" s="156"/>
      <c r="J31" s="156"/>
      <c r="K31" s="157"/>
    </row>
    <row r="32" spans="2:58" ht="58.5" customHeight="1">
      <c r="B32" s="448" t="s">
        <v>257</v>
      </c>
      <c r="C32" s="227">
        <v>1</v>
      </c>
      <c r="D32" s="206" t="s">
        <v>222</v>
      </c>
      <c r="E32" s="181" t="s">
        <v>266</v>
      </c>
      <c r="F32" s="182">
        <f t="shared" si="3"/>
        <v>1</v>
      </c>
      <c r="G32" s="488"/>
      <c r="H32" s="489"/>
      <c r="I32" s="489"/>
      <c r="J32" s="489"/>
      <c r="K32" s="490"/>
    </row>
    <row r="33" spans="2:11" ht="57" customHeight="1">
      <c r="B33" s="449"/>
      <c r="C33" s="143">
        <v>2</v>
      </c>
      <c r="D33" s="203" t="s">
        <v>223</v>
      </c>
      <c r="E33" s="177" t="s">
        <v>266</v>
      </c>
      <c r="F33" s="178">
        <f>IF(E33="Yes",5,0)</f>
        <v>5</v>
      </c>
      <c r="G33" s="503"/>
      <c r="H33" s="504"/>
      <c r="I33" s="504"/>
      <c r="J33" s="504"/>
      <c r="K33" s="505"/>
    </row>
    <row r="34" spans="2:11" ht="57" customHeight="1">
      <c r="B34" s="449"/>
      <c r="C34" s="131">
        <v>3</v>
      </c>
      <c r="D34" s="202" t="s">
        <v>224</v>
      </c>
      <c r="E34" s="140" t="s">
        <v>193</v>
      </c>
      <c r="F34" s="135">
        <f>IF(E34="Yes",5,0)</f>
        <v>0</v>
      </c>
      <c r="G34" s="503" t="s">
        <v>499</v>
      </c>
      <c r="H34" s="504"/>
      <c r="I34" s="504"/>
      <c r="J34" s="504"/>
      <c r="K34" s="505"/>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195"/>
      <c r="H37" s="196"/>
      <c r="I37" s="196"/>
      <c r="J37" s="196"/>
      <c r="K37" s="197"/>
    </row>
    <row r="38" spans="2:11" ht="50.25"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266</v>
      </c>
      <c r="F39" s="178">
        <f>IF(OR(E39="Yes",E39="NA"),7,0)</f>
        <v>7</v>
      </c>
      <c r="G39" s="195"/>
      <c r="H39" s="196"/>
      <c r="I39" s="196"/>
      <c r="J39" s="196"/>
      <c r="K39" s="197"/>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518"/>
      <c r="H41" s="519"/>
      <c r="I41" s="519"/>
      <c r="J41" s="519"/>
      <c r="K41" s="520"/>
    </row>
    <row r="42" spans="2:11" ht="47.25" customHeight="1">
      <c r="B42" s="449"/>
      <c r="C42" s="127">
        <v>2</v>
      </c>
      <c r="D42" s="202" t="s">
        <v>237</v>
      </c>
      <c r="E42" s="140" t="s">
        <v>193</v>
      </c>
      <c r="F42" s="135">
        <f>IF(E42="Yes",5,0)</f>
        <v>0</v>
      </c>
      <c r="G42" s="500" t="s">
        <v>502</v>
      </c>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193</v>
      </c>
      <c r="F44" s="135">
        <f>IF(E44="Yes",1,0)</f>
        <v>0</v>
      </c>
      <c r="G44" s="500" t="s">
        <v>500</v>
      </c>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96"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315</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193</v>
      </c>
      <c r="F53" s="190">
        <f>IF(E53="Yes",1,0)</f>
        <v>0</v>
      </c>
      <c r="G53" s="503" t="s">
        <v>501</v>
      </c>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6">
    <mergeCell ref="B46:B48"/>
    <mergeCell ref="G46:K46"/>
    <mergeCell ref="G47:K47"/>
    <mergeCell ref="G48:K48"/>
    <mergeCell ref="B49:B53"/>
    <mergeCell ref="G49:K49"/>
    <mergeCell ref="G50:K50"/>
    <mergeCell ref="G51:K51"/>
    <mergeCell ref="G52:K52"/>
    <mergeCell ref="G53:K53"/>
    <mergeCell ref="B41:B45"/>
    <mergeCell ref="G42:K42"/>
    <mergeCell ref="G43:K43"/>
    <mergeCell ref="B32:B35"/>
    <mergeCell ref="G32:K32"/>
    <mergeCell ref="G33:K33"/>
    <mergeCell ref="G34:K34"/>
    <mergeCell ref="G35:K35"/>
    <mergeCell ref="G44:K44"/>
    <mergeCell ref="G45:K45"/>
    <mergeCell ref="B36:B40"/>
    <mergeCell ref="G36:K36"/>
    <mergeCell ref="G38:K38"/>
    <mergeCell ref="G40:K40"/>
    <mergeCell ref="G41:K41"/>
    <mergeCell ref="B24:D24"/>
    <mergeCell ref="G24:K24"/>
    <mergeCell ref="B25:B31"/>
    <mergeCell ref="G25:K25"/>
    <mergeCell ref="G26:K26"/>
    <mergeCell ref="G27:K27"/>
    <mergeCell ref="G28:K28"/>
    <mergeCell ref="G30:K30"/>
    <mergeCell ref="G29:K29"/>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G20:K20"/>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s>
  <conditionalFormatting sqref="E17:E23">
    <cfRule type="notContainsText" dxfId="111" priority="9" operator="notContains" text="YES">
      <formula>ISERROR(SEARCH("YES",E17))</formula>
    </cfRule>
  </conditionalFormatting>
  <conditionalFormatting sqref="E43:E53">
    <cfRule type="containsText" dxfId="110" priority="7" operator="containsText" text="No">
      <formula>NOT(ISERROR(SEARCH("No",E43)))</formula>
    </cfRule>
  </conditionalFormatting>
  <conditionalFormatting sqref="E25:F42">
    <cfRule type="containsText" dxfId="109" priority="8" operator="containsText" text="No">
      <formula>NOT(ISERROR(SEARCH("No",E25)))</formula>
    </cfRule>
  </conditionalFormatting>
  <conditionalFormatting sqref="H4:J4">
    <cfRule type="cellIs" dxfId="108" priority="1" operator="equal">
      <formula>"NO PASA"</formula>
    </cfRule>
    <cfRule type="cellIs" dxfId="107" priority="2" operator="equal">
      <formula>"NO PASA"</formula>
    </cfRule>
    <cfRule type="cellIs" dxfId="106" priority="3" operator="equal">
      <formula>"PASA"</formula>
    </cfRule>
    <cfRule type="cellIs" dxfId="105" priority="4" operator="equal">
      <formula>"PASA"</formula>
    </cfRule>
    <cfRule type="cellIs" dxfId="104" priority="5" operator="equal">
      <formula>"NO PASA"</formula>
    </cfRule>
    <cfRule type="containsText" dxfId="103" priority="6" operator="containsText" text="PASA">
      <formula>NOT(ISERROR(SEARCH("PASA",H4)))</formula>
    </cfRule>
    <cfRule type="cellIs" dxfId="102" priority="13" operator="equal">
      <formula>$BC$7</formula>
    </cfRule>
    <cfRule type="cellIs" dxfId="101" priority="14" operator="equal">
      <formula>$BC$6</formula>
    </cfRule>
    <cfRule type="cellIs" dxfId="100" priority="15" operator="equal">
      <formula>$BC$4</formula>
    </cfRule>
  </conditionalFormatting>
  <conditionalFormatting sqref="I14">
    <cfRule type="cellIs" dxfId="99" priority="10" operator="greaterThanOrEqual">
      <formula>0.9</formula>
    </cfRule>
    <cfRule type="cellIs" dxfId="98" priority="11" operator="between">
      <formula>0.71</formula>
      <formula>0.9</formula>
    </cfRule>
    <cfRule type="cellIs" dxfId="97" priority="12" operator="lessThan">
      <formula>0.71</formula>
    </cfRule>
  </conditionalFormatting>
  <dataValidations count="3">
    <dataValidation type="list" allowBlank="1" showInputMessage="1" showErrorMessage="1" sqref="E38:E39 E50:E51" xr:uid="{00000000-0002-0000-1A00-000000000000}">
      <formula1>"Yes,No,NA"</formula1>
    </dataValidation>
    <dataValidation type="list" allowBlank="1" showInputMessage="1" showErrorMessage="1" sqref="E52:E53 E25:E37 E40:E49" xr:uid="{00000000-0002-0000-1A00-000001000000}">
      <formula1>"Yes,No"</formula1>
    </dataValidation>
    <dataValidation type="list" allowBlank="1" showInputMessage="1" showErrorMessage="1" sqref="E17:E23" xr:uid="{00000000-0002-0000-1A00-000002000000}">
      <formula1>"Yes,No,Cured in Moment"</formula1>
    </dataValidation>
  </dataValidations>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4FABC"/>
  </sheetPr>
  <dimension ref="B1:H103"/>
  <sheetViews>
    <sheetView topLeftCell="A2" zoomScale="50" zoomScaleNormal="50" workbookViewId="0">
      <selection activeCell="C10" sqref="C10:D10"/>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84.75" customHeight="1">
      <c r="B7" s="293" t="s">
        <v>393</v>
      </c>
      <c r="C7" s="131" t="s">
        <v>384</v>
      </c>
      <c r="D7" s="284">
        <v>46295</v>
      </c>
      <c r="E7" s="130"/>
      <c r="F7" s="134"/>
    </row>
    <row r="8" spans="2:8" ht="63.75" customHeight="1">
      <c r="B8" s="293" t="s">
        <v>503</v>
      </c>
      <c r="C8" s="131" t="s">
        <v>384</v>
      </c>
      <c r="D8" s="284">
        <v>46295</v>
      </c>
      <c r="E8" s="127"/>
      <c r="F8" s="135"/>
    </row>
    <row r="9" spans="2:8" ht="111.75" customHeight="1">
      <c r="B9" s="293" t="s">
        <v>504</v>
      </c>
      <c r="C9" s="131" t="s">
        <v>384</v>
      </c>
      <c r="D9" s="284">
        <v>46295</v>
      </c>
      <c r="E9" s="127"/>
      <c r="F9" s="136"/>
    </row>
    <row r="10" spans="2:8" ht="74.25" customHeight="1">
      <c r="B10" s="293" t="s">
        <v>505</v>
      </c>
      <c r="C10" s="131" t="s">
        <v>384</v>
      </c>
      <c r="D10" s="284">
        <v>46295</v>
      </c>
      <c r="E10" s="131"/>
      <c r="F10" s="136"/>
    </row>
    <row r="11" spans="2:8" ht="77.25" customHeight="1">
      <c r="B11" s="293"/>
      <c r="C11" s="131"/>
      <c r="D11" s="307"/>
      <c r="E11" s="131"/>
      <c r="F11" s="136"/>
    </row>
    <row r="12" spans="2:8" ht="44.1" customHeight="1">
      <c r="B12" s="293"/>
      <c r="C12" s="131"/>
      <c r="D12" s="131"/>
      <c r="E12" s="131"/>
      <c r="F12" s="136"/>
    </row>
    <row r="13" spans="2:8" s="126" customFormat="1" ht="33" customHeight="1">
      <c r="B13" s="293"/>
      <c r="C13" s="131"/>
      <c r="D13" s="131"/>
      <c r="E13" s="131"/>
      <c r="F13" s="136"/>
    </row>
    <row r="14" spans="2:8" ht="34.5" customHeight="1">
      <c r="B14" s="293"/>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268</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96" priority="1" stopIfTrue="1">
      <formula>IF($E31="NA",TRUE,FALSE)</formula>
    </cfRule>
  </conditionalFormatting>
  <dataValidations count="3">
    <dataValidation type="list" allowBlank="1" showInputMessage="1" showErrorMessage="1" sqref="E31" xr:uid="{00000000-0002-0000-1B00-000000000000}">
      <formula1>"Yes,No,NA"</formula1>
    </dataValidation>
    <dataValidation type="list" allowBlank="1" showInputMessage="1" showErrorMessage="1" sqref="E17" xr:uid="{00000000-0002-0000-1B00-000001000000}">
      <formula1>"Yes,No"</formula1>
    </dataValidation>
    <dataValidation type="list" allowBlank="1" showInputMessage="1" showErrorMessage="1" sqref="E5:E6 E20:E21 E34:E35" xr:uid="{00000000-0002-0000-1B00-000002000000}">
      <formula1>"Yes,No,Cured in Moment"</formula1>
    </dataValidation>
  </dataValidation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1" tint="0.34998626667073579"/>
  </sheetPr>
  <dimension ref="B1:BF56"/>
  <sheetViews>
    <sheetView zoomScale="60" zoomScaleNormal="60" workbookViewId="0">
      <selection activeCell="E2" sqref="E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60.75" customHeight="1" thickBot="1">
      <c r="B3" s="210" t="s">
        <v>208</v>
      </c>
      <c r="C3" s="547" t="s">
        <v>330</v>
      </c>
      <c r="D3" s="548"/>
      <c r="E3" s="161"/>
      <c r="G3" s="220"/>
      <c r="H3" s="220"/>
      <c r="I3" s="220"/>
      <c r="J3" s="220"/>
    </row>
    <row r="4" spans="2:55" ht="114" customHeight="1" thickBot="1">
      <c r="B4" s="211" t="s">
        <v>275</v>
      </c>
      <c r="C4" s="441" t="s">
        <v>363</v>
      </c>
      <c r="D4" s="442"/>
      <c r="E4" s="150"/>
      <c r="G4" s="186" t="s">
        <v>11</v>
      </c>
      <c r="H4" s="443" t="str">
        <f>IF(COUNTIF(BB6,"0")&gt;0,"PASA","NO PASA")</f>
        <v>PASA</v>
      </c>
      <c r="I4" s="444"/>
      <c r="J4" s="445"/>
      <c r="BA4" s="221" t="s">
        <v>174</v>
      </c>
      <c r="BB4" s="123">
        <f>COUNTIF(E17:F23,BA4)</f>
        <v>0</v>
      </c>
      <c r="BC4" s="225" t="s">
        <v>262</v>
      </c>
    </row>
    <row r="5" spans="2:55" ht="55.5" customHeight="1" thickBot="1">
      <c r="B5" s="236" t="s">
        <v>203</v>
      </c>
      <c r="C5" s="446">
        <v>46269</v>
      </c>
      <c r="D5" s="579"/>
      <c r="G5" s="228" t="s">
        <v>198</v>
      </c>
      <c r="H5" s="185" t="s">
        <v>3</v>
      </c>
      <c r="I5" s="229" t="s">
        <v>4</v>
      </c>
      <c r="J5" s="230" t="s">
        <v>5</v>
      </c>
      <c r="BC5" s="225"/>
    </row>
    <row r="6" spans="2:55" ht="48" customHeight="1" thickBot="1">
      <c r="C6" s="122"/>
      <c r="E6" s="128"/>
      <c r="G6" s="187" t="s">
        <v>254</v>
      </c>
      <c r="H6" s="160">
        <v>31</v>
      </c>
      <c r="I6" s="160">
        <f>SUM(F25:F31)</f>
        <v>21</v>
      </c>
      <c r="J6" s="167">
        <f t="shared" ref="J6:J9" si="0">I6/H6</f>
        <v>0.67741935483870963</v>
      </c>
      <c r="BA6" s="221" t="s">
        <v>193</v>
      </c>
      <c r="BB6" s="123">
        <f>COUNTIF(E17:F23,BA6)</f>
        <v>0</v>
      </c>
      <c r="BC6" s="225" t="s">
        <v>263</v>
      </c>
    </row>
    <row r="7" spans="2:55" ht="48" customHeight="1" thickBot="1">
      <c r="B7" s="448" t="s">
        <v>243</v>
      </c>
      <c r="C7" s="451" t="s">
        <v>252</v>
      </c>
      <c r="D7" s="452"/>
      <c r="E7" s="164"/>
      <c r="G7" s="168" t="s">
        <v>199</v>
      </c>
      <c r="H7" s="169">
        <v>18</v>
      </c>
      <c r="I7" s="169">
        <f>SUM(F32:F35)</f>
        <v>18</v>
      </c>
      <c r="J7" s="170">
        <f t="shared" si="0"/>
        <v>1</v>
      </c>
      <c r="BA7" s="224" t="s">
        <v>261</v>
      </c>
      <c r="BB7" s="123">
        <f>COUNTIF(E17:F23,BA7)</f>
        <v>0</v>
      </c>
      <c r="BC7" s="225" t="s">
        <v>264</v>
      </c>
    </row>
    <row r="8" spans="2:55" ht="48" customHeight="1" thickBot="1">
      <c r="B8" s="449"/>
      <c r="C8" s="453" t="s">
        <v>253</v>
      </c>
      <c r="D8" s="454"/>
      <c r="E8" s="165"/>
      <c r="G8" s="187" t="s">
        <v>200</v>
      </c>
      <c r="H8" s="160">
        <v>31</v>
      </c>
      <c r="I8" s="160">
        <f>SUM(F36:F40)</f>
        <v>19</v>
      </c>
      <c r="J8" s="167">
        <f t="shared" si="0"/>
        <v>0.61290322580645162</v>
      </c>
      <c r="R8" s="237"/>
    </row>
    <row r="9" spans="2:55" ht="63" customHeight="1" thickBot="1">
      <c r="B9" s="450"/>
      <c r="C9" s="455"/>
      <c r="D9" s="456"/>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5</v>
      </c>
      <c r="J11" s="170">
        <f t="shared" ref="J11:J12" si="1">I11/H11</f>
        <v>1</v>
      </c>
    </row>
    <row r="12" spans="2:55" ht="72.75" customHeight="1" thickBot="1">
      <c r="B12" s="219" t="s">
        <v>244</v>
      </c>
      <c r="C12" s="459" t="s">
        <v>246</v>
      </c>
      <c r="D12" s="460"/>
      <c r="E12" s="166"/>
      <c r="G12" s="198" t="s">
        <v>271</v>
      </c>
      <c r="H12" s="199">
        <f>SUM(H6:H11)</f>
        <v>117</v>
      </c>
      <c r="I12" s="199">
        <f>SUM(I6:I11)</f>
        <v>94</v>
      </c>
      <c r="J12" s="200">
        <f t="shared" si="1"/>
        <v>0.80341880341880345</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0.80341880341880345</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G20" s="563"/>
      <c r="H20" s="564"/>
      <c r="I20" s="564"/>
      <c r="J20" s="564"/>
      <c r="K20" s="565"/>
      <c r="V20" s="122"/>
      <c r="AY20" s="172" t="str">
        <f t="shared" si="2"/>
        <v>Yes</v>
      </c>
      <c r="BA20" s="222"/>
      <c r="BB20" s="122"/>
      <c r="BC20" s="122"/>
    </row>
    <row r="21" spans="2:58" s="172" customFormat="1" ht="45.95" customHeight="1">
      <c r="B21" s="449"/>
      <c r="C21" s="214">
        <v>5</v>
      </c>
      <c r="D21" s="215" t="s">
        <v>213</v>
      </c>
      <c r="E21" s="478" t="s">
        <v>266</v>
      </c>
      <c r="F21" s="479"/>
      <c r="G21" s="475"/>
      <c r="H21" s="476"/>
      <c r="I21" s="476"/>
      <c r="J21" s="476"/>
      <c r="K21" s="477"/>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524"/>
      <c r="H25" s="525"/>
      <c r="I25" s="525"/>
      <c r="J25" s="525"/>
      <c r="K25" s="526"/>
    </row>
    <row r="26" spans="2:58" ht="45.95" customHeight="1">
      <c r="B26" s="449"/>
      <c r="C26" s="127">
        <v>2</v>
      </c>
      <c r="D26" s="192" t="s">
        <v>219</v>
      </c>
      <c r="E26" s="140" t="s">
        <v>193</v>
      </c>
      <c r="F26" s="135">
        <f>IF(E26="Yes",5,0)</f>
        <v>0</v>
      </c>
      <c r="G26" s="601" t="s">
        <v>420</v>
      </c>
      <c r="H26" s="601"/>
      <c r="I26" s="601"/>
      <c r="J26" s="601"/>
      <c r="K26" s="601"/>
    </row>
    <row r="27" spans="2:58" ht="45.95" customHeight="1">
      <c r="B27" s="449"/>
      <c r="C27" s="143">
        <v>3</v>
      </c>
      <c r="D27" s="193" t="s">
        <v>216</v>
      </c>
      <c r="E27" s="177" t="s">
        <v>193</v>
      </c>
      <c r="F27" s="178">
        <f>IF(E27="Yes",5,0)</f>
        <v>0</v>
      </c>
      <c r="G27" s="602" t="s">
        <v>421</v>
      </c>
      <c r="H27" s="602"/>
      <c r="I27" s="602"/>
      <c r="J27" s="602"/>
      <c r="K27" s="602"/>
    </row>
    <row r="28" spans="2:58" ht="51.75" customHeight="1">
      <c r="B28" s="449"/>
      <c r="C28" s="127">
        <v>4</v>
      </c>
      <c r="D28" s="192" t="s">
        <v>217</v>
      </c>
      <c r="E28" s="140" t="s">
        <v>266</v>
      </c>
      <c r="F28" s="135">
        <f t="shared" ref="F28:F32" si="3">IF(E28="Yes",1,0)</f>
        <v>1</v>
      </c>
      <c r="G28" s="500"/>
      <c r="H28" s="501"/>
      <c r="I28" s="501"/>
      <c r="J28" s="501"/>
      <c r="K28" s="502"/>
    </row>
    <row r="29" spans="2:58" ht="50.25" customHeight="1">
      <c r="B29" s="449"/>
      <c r="C29" s="151">
        <v>5</v>
      </c>
      <c r="D29" s="193" t="s">
        <v>218</v>
      </c>
      <c r="E29" s="177" t="s">
        <v>266</v>
      </c>
      <c r="F29" s="178">
        <f t="shared" si="3"/>
        <v>1</v>
      </c>
      <c r="G29" s="603"/>
      <c r="H29" s="604"/>
      <c r="I29" s="604"/>
      <c r="J29" s="604"/>
      <c r="K29" s="605"/>
    </row>
    <row r="30" spans="2:58" ht="47.25" customHeight="1">
      <c r="B30" s="449"/>
      <c r="C30" s="131">
        <v>6</v>
      </c>
      <c r="D30" s="192" t="s">
        <v>220</v>
      </c>
      <c r="E30" s="140" t="s">
        <v>266</v>
      </c>
      <c r="F30" s="135">
        <f>IF(E30="Yes",7,0)</f>
        <v>7</v>
      </c>
      <c r="G30" s="563"/>
      <c r="H30" s="564"/>
      <c r="I30" s="564"/>
      <c r="J30" s="564"/>
      <c r="K30" s="565"/>
    </row>
    <row r="31" spans="2:58" ht="48.75" customHeight="1" thickBot="1">
      <c r="B31" s="450"/>
      <c r="C31" s="158">
        <v>7</v>
      </c>
      <c r="D31" s="194" t="s">
        <v>221</v>
      </c>
      <c r="E31" s="179" t="s">
        <v>266</v>
      </c>
      <c r="F31" s="180">
        <f>IF(E31="Yes",7,0)</f>
        <v>7</v>
      </c>
      <c r="G31" s="545"/>
      <c r="H31" s="546"/>
      <c r="I31" s="546"/>
      <c r="J31" s="546"/>
      <c r="K31" s="562"/>
    </row>
    <row r="32" spans="2:58" ht="48.75" customHeight="1">
      <c r="B32" s="448" t="s">
        <v>257</v>
      </c>
      <c r="C32" s="227">
        <v>1</v>
      </c>
      <c r="D32" s="206" t="s">
        <v>222</v>
      </c>
      <c r="E32" s="181" t="s">
        <v>266</v>
      </c>
      <c r="F32" s="182">
        <f t="shared" si="3"/>
        <v>1</v>
      </c>
      <c r="G32" s="512"/>
      <c r="H32" s="513"/>
      <c r="I32" s="513"/>
      <c r="J32" s="513"/>
      <c r="K32" s="514"/>
    </row>
    <row r="33" spans="2:11" ht="45.95" customHeight="1">
      <c r="B33" s="449"/>
      <c r="C33" s="143">
        <v>2</v>
      </c>
      <c r="D33" s="203" t="s">
        <v>223</v>
      </c>
      <c r="E33" s="177" t="s">
        <v>266</v>
      </c>
      <c r="F33" s="178">
        <f>IF(E33="Yes",5,0)</f>
        <v>5</v>
      </c>
      <c r="G33" s="503"/>
      <c r="H33" s="504"/>
      <c r="I33" s="504"/>
      <c r="J33" s="504"/>
      <c r="K33" s="505"/>
    </row>
    <row r="34" spans="2:11" ht="45.95" customHeight="1">
      <c r="B34" s="449"/>
      <c r="C34" s="131">
        <v>3</v>
      </c>
      <c r="D34" s="202" t="s">
        <v>224</v>
      </c>
      <c r="E34" s="140" t="s">
        <v>266</v>
      </c>
      <c r="F34" s="135">
        <f>IF(E34="Yes",5,0)</f>
        <v>5</v>
      </c>
      <c r="G34" s="500"/>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193</v>
      </c>
      <c r="F37" s="178">
        <f>IF(E37="Yes",5,0)</f>
        <v>0</v>
      </c>
      <c r="G37" s="509" t="s">
        <v>422</v>
      </c>
      <c r="H37" s="510"/>
      <c r="I37" s="510"/>
      <c r="J37" s="510"/>
      <c r="K37" s="511"/>
    </row>
    <row r="38" spans="2:11" ht="50.25" customHeight="1">
      <c r="B38" s="449"/>
      <c r="C38" s="127">
        <v>3</v>
      </c>
      <c r="D38" s="202" t="s">
        <v>228</v>
      </c>
      <c r="E38" s="140" t="s">
        <v>315</v>
      </c>
      <c r="F38" s="135">
        <f>IF(OR(E38="Yes",E38="NA"),7,0)</f>
        <v>7</v>
      </c>
      <c r="G38" s="491"/>
      <c r="H38" s="492"/>
      <c r="I38" s="492"/>
      <c r="J38" s="492"/>
      <c r="K38" s="493"/>
    </row>
    <row r="39" spans="2:11" ht="68.25" customHeight="1">
      <c r="B39" s="449"/>
      <c r="C39" s="174">
        <v>4</v>
      </c>
      <c r="D39" s="203" t="s">
        <v>273</v>
      </c>
      <c r="E39" s="177" t="s">
        <v>193</v>
      </c>
      <c r="F39" s="178">
        <f>IF(OR(E39="Yes",E39="NA"),7,0)</f>
        <v>0</v>
      </c>
      <c r="G39" s="509" t="s">
        <v>423</v>
      </c>
      <c r="H39" s="510"/>
      <c r="I39" s="510"/>
      <c r="J39" s="510"/>
      <c r="K39" s="511"/>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149"/>
      <c r="H41" s="147"/>
      <c r="I41" s="147"/>
      <c r="J41" s="147"/>
      <c r="K41" s="148"/>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193</v>
      </c>
      <c r="F44" s="135">
        <f>IF(E44="Yes",1,0)</f>
        <v>0</v>
      </c>
      <c r="G44" s="601" t="s">
        <v>424</v>
      </c>
      <c r="H44" s="601"/>
      <c r="I44" s="601"/>
      <c r="J44" s="601"/>
      <c r="K44" s="601"/>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266</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266</v>
      </c>
      <c r="F53" s="190">
        <f>IF(E53="Yes",1,0)</f>
        <v>1</v>
      </c>
      <c r="G53" s="503"/>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8">
    <mergeCell ref="G20:K20"/>
    <mergeCell ref="B46:B48"/>
    <mergeCell ref="G46:K46"/>
    <mergeCell ref="G47:K47"/>
    <mergeCell ref="G48:K48"/>
    <mergeCell ref="B41:B45"/>
    <mergeCell ref="G42:K42"/>
    <mergeCell ref="G43:K43"/>
    <mergeCell ref="B32:B35"/>
    <mergeCell ref="G32:K32"/>
    <mergeCell ref="G33:K33"/>
    <mergeCell ref="G34:K34"/>
    <mergeCell ref="G35:K35"/>
    <mergeCell ref="G44:K44"/>
    <mergeCell ref="G45:K45"/>
    <mergeCell ref="G39:K39"/>
    <mergeCell ref="B49:B53"/>
    <mergeCell ref="G49:K49"/>
    <mergeCell ref="G50:K50"/>
    <mergeCell ref="G51:K51"/>
    <mergeCell ref="G52:K52"/>
    <mergeCell ref="G53:K53"/>
    <mergeCell ref="G23:K23"/>
    <mergeCell ref="B36:B40"/>
    <mergeCell ref="G36:K36"/>
    <mergeCell ref="G38:K38"/>
    <mergeCell ref="G40:K40"/>
    <mergeCell ref="B24:D24"/>
    <mergeCell ref="G24:K24"/>
    <mergeCell ref="B25:B31"/>
    <mergeCell ref="G25:K25"/>
    <mergeCell ref="G26:K26"/>
    <mergeCell ref="G27:K27"/>
    <mergeCell ref="G28:K28"/>
    <mergeCell ref="G29:K29"/>
    <mergeCell ref="G30:K30"/>
    <mergeCell ref="G31:K31"/>
    <mergeCell ref="G37:K37"/>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I14:J14"/>
    <mergeCell ref="B1:D2"/>
    <mergeCell ref="C3:D3"/>
    <mergeCell ref="C4:D4"/>
    <mergeCell ref="H4:J4"/>
    <mergeCell ref="C5:D5"/>
    <mergeCell ref="B7:B9"/>
    <mergeCell ref="C7:D7"/>
    <mergeCell ref="C8:D9"/>
    <mergeCell ref="C11:D11"/>
    <mergeCell ref="C12:D12"/>
    <mergeCell ref="C13:D13"/>
    <mergeCell ref="C14:D14"/>
    <mergeCell ref="G14:H14"/>
  </mergeCells>
  <conditionalFormatting sqref="E17:E23">
    <cfRule type="notContainsText" dxfId="95" priority="9" operator="notContains" text="YES">
      <formula>ISERROR(SEARCH("YES",E17))</formula>
    </cfRule>
  </conditionalFormatting>
  <conditionalFormatting sqref="E43:E53">
    <cfRule type="containsText" dxfId="94" priority="7" operator="containsText" text="No">
      <formula>NOT(ISERROR(SEARCH("No",E43)))</formula>
    </cfRule>
  </conditionalFormatting>
  <conditionalFormatting sqref="E25:F42">
    <cfRule type="containsText" dxfId="93" priority="8" operator="containsText" text="No">
      <formula>NOT(ISERROR(SEARCH("No",E25)))</formula>
    </cfRule>
  </conditionalFormatting>
  <conditionalFormatting sqref="H4:J4">
    <cfRule type="cellIs" dxfId="92" priority="1" operator="equal">
      <formula>"NO PASA"</formula>
    </cfRule>
    <cfRule type="cellIs" dxfId="91" priority="2" operator="equal">
      <formula>"NO PASA"</formula>
    </cfRule>
    <cfRule type="cellIs" dxfId="90" priority="3" operator="equal">
      <formula>"PASA"</formula>
    </cfRule>
    <cfRule type="cellIs" dxfId="89" priority="4" operator="equal">
      <formula>"PASA"</formula>
    </cfRule>
    <cfRule type="cellIs" dxfId="88" priority="5" operator="equal">
      <formula>"NO PASA"</formula>
    </cfRule>
    <cfRule type="containsText" dxfId="87" priority="6" operator="containsText" text="PASA">
      <formula>NOT(ISERROR(SEARCH("PASA",H4)))</formula>
    </cfRule>
    <cfRule type="cellIs" dxfId="86" priority="13" operator="equal">
      <formula>$BC$7</formula>
    </cfRule>
    <cfRule type="cellIs" dxfId="85" priority="14" operator="equal">
      <formula>$BC$6</formula>
    </cfRule>
    <cfRule type="cellIs" dxfId="84" priority="15" operator="equal">
      <formula>$BC$4</formula>
    </cfRule>
  </conditionalFormatting>
  <conditionalFormatting sqref="I14">
    <cfRule type="cellIs" dxfId="83" priority="10" operator="greaterThanOrEqual">
      <formula>0.9</formula>
    </cfRule>
    <cfRule type="cellIs" dxfId="82" priority="11" operator="between">
      <formula>0.71</formula>
      <formula>0.9</formula>
    </cfRule>
    <cfRule type="cellIs" dxfId="81" priority="12" operator="lessThan">
      <formula>0.71</formula>
    </cfRule>
  </conditionalFormatting>
  <dataValidations count="3">
    <dataValidation type="list" allowBlank="1" showInputMessage="1" showErrorMessage="1" sqref="E38:E39 E50:E51" xr:uid="{00000000-0002-0000-1C00-000000000000}">
      <formula1>"Yes,No,NA"</formula1>
    </dataValidation>
    <dataValidation type="list" allowBlank="1" showInputMessage="1" showErrorMessage="1" sqref="E52:E53 E25:E37 E40:E49" xr:uid="{00000000-0002-0000-1C00-000001000000}">
      <formula1>"Yes,No"</formula1>
    </dataValidation>
    <dataValidation type="list" allowBlank="1" showInputMessage="1" showErrorMessage="1" sqref="E17:E23" xr:uid="{00000000-0002-0000-1C00-000002000000}">
      <formula1>"Yes,No,Cured in Moment"</formula1>
    </dataValidation>
  </dataValidations>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1" tint="0.34998626667073579"/>
  </sheetPr>
  <dimension ref="B1:H103"/>
  <sheetViews>
    <sheetView topLeftCell="A4" zoomScale="50" zoomScaleNormal="50" workbookViewId="0">
      <selection activeCell="D10" sqref="D10"/>
    </sheetView>
  </sheetViews>
  <sheetFormatPr baseColWidth="10" defaultColWidth="8.85546875" defaultRowHeight="18"/>
  <cols>
    <col min="1" max="1" width="4.42578125" style="124" customWidth="1"/>
    <col min="2" max="2" width="48.710937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90.75" customHeight="1">
      <c r="B7" s="293" t="s">
        <v>425</v>
      </c>
      <c r="C7" s="130" t="s">
        <v>385</v>
      </c>
      <c r="D7" s="138" t="s">
        <v>387</v>
      </c>
      <c r="E7" s="130"/>
      <c r="F7" s="134"/>
    </row>
    <row r="8" spans="2:8" ht="113.25" customHeight="1">
      <c r="B8" s="311" t="s">
        <v>426</v>
      </c>
      <c r="C8" s="130" t="s">
        <v>385</v>
      </c>
      <c r="D8" s="138">
        <v>46295</v>
      </c>
      <c r="E8" s="127"/>
      <c r="F8" s="135"/>
    </row>
    <row r="9" spans="2:8" ht="81.75" customHeight="1">
      <c r="B9" s="302" t="s">
        <v>427</v>
      </c>
      <c r="C9" s="130" t="s">
        <v>385</v>
      </c>
      <c r="D9" s="284" t="s">
        <v>391</v>
      </c>
      <c r="E9" s="127"/>
      <c r="F9" s="136"/>
    </row>
    <row r="10" spans="2:8" ht="75.75" customHeight="1">
      <c r="B10" s="297" t="s">
        <v>428</v>
      </c>
      <c r="C10" s="130" t="s">
        <v>385</v>
      </c>
      <c r="D10" s="138">
        <v>46295</v>
      </c>
      <c r="E10" s="131"/>
      <c r="F10" s="136"/>
    </row>
    <row r="11" spans="2:8" ht="75.75" customHeight="1">
      <c r="B11" s="297"/>
      <c r="C11" s="130"/>
      <c r="D11" s="284"/>
      <c r="E11" s="131"/>
      <c r="F11" s="136"/>
    </row>
    <row r="12" spans="2:8" ht="44.1" customHeight="1">
      <c r="B12" s="297"/>
      <c r="C12" s="130"/>
      <c r="D12" s="131"/>
      <c r="E12" s="131"/>
      <c r="F12" s="136"/>
    </row>
    <row r="13" spans="2:8" s="126" customFormat="1" ht="30.95" customHeight="1">
      <c r="B13" s="297"/>
      <c r="C13" s="130"/>
      <c r="D13" s="131"/>
      <c r="E13" s="131"/>
      <c r="F13" s="136"/>
    </row>
    <row r="14" spans="2:8" ht="39.950000000000003" customHeight="1">
      <c r="B14" s="297"/>
      <c r="C14" s="130"/>
      <c r="D14" s="131"/>
      <c r="E14" s="131"/>
      <c r="F14" s="136"/>
    </row>
    <row r="15" spans="2:8" ht="39.950000000000003" customHeight="1">
      <c r="B15" s="299"/>
      <c r="C15" s="130"/>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316</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32:F32"/>
    <mergeCell ref="B33:F33"/>
    <mergeCell ref="B34:B35"/>
    <mergeCell ref="C34:C35"/>
    <mergeCell ref="D34:D35"/>
    <mergeCell ref="E34:E35"/>
    <mergeCell ref="F34:F35"/>
    <mergeCell ref="B18:F18"/>
    <mergeCell ref="B19:F19"/>
    <mergeCell ref="B20:B21"/>
    <mergeCell ref="C20:C21"/>
    <mergeCell ref="D20:D21"/>
    <mergeCell ref="E20:E21"/>
    <mergeCell ref="F20:F21"/>
    <mergeCell ref="B2:E2"/>
    <mergeCell ref="B3:F3"/>
    <mergeCell ref="B4:F4"/>
    <mergeCell ref="B5:B6"/>
    <mergeCell ref="C5:C6"/>
    <mergeCell ref="D5:D6"/>
    <mergeCell ref="E5:E6"/>
    <mergeCell ref="F5:F6"/>
  </mergeCells>
  <conditionalFormatting sqref="F31">
    <cfRule type="expression" dxfId="80" priority="1" stopIfTrue="1">
      <formula>IF($E31="NA",TRUE,FALSE)</formula>
    </cfRule>
  </conditionalFormatting>
  <dataValidations disablePrompts="1" count="3">
    <dataValidation type="list" allowBlank="1" showInputMessage="1" showErrorMessage="1" sqref="E31" xr:uid="{00000000-0002-0000-1D00-000000000000}">
      <formula1>"Yes,No,NA"</formula1>
    </dataValidation>
    <dataValidation type="list" allowBlank="1" showInputMessage="1" showErrorMessage="1" sqref="E17" xr:uid="{00000000-0002-0000-1D00-000001000000}">
      <formula1>"Yes,No"</formula1>
    </dataValidation>
    <dataValidation type="list" allowBlank="1" showInputMessage="1" showErrorMessage="1" sqref="E5:E6 E20:E21 E34:E35" xr:uid="{00000000-0002-0000-1D00-000002000000}">
      <formula1>"Yes,No,Cured in Moment"</formula1>
    </dataValidation>
  </dataValidation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1" tint="0.499984740745262"/>
  </sheetPr>
  <dimension ref="B1:BF56"/>
  <sheetViews>
    <sheetView topLeftCell="A41" zoomScale="60" zoomScaleNormal="60" workbookViewId="0">
      <selection activeCell="G46" sqref="G46:K46"/>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60.75" customHeight="1" thickBot="1">
      <c r="B3" s="210" t="s">
        <v>208</v>
      </c>
      <c r="C3" s="547" t="s">
        <v>331</v>
      </c>
      <c r="D3" s="548"/>
      <c r="E3" s="161"/>
      <c r="G3" s="220"/>
      <c r="H3" s="220"/>
      <c r="I3" s="220"/>
      <c r="J3" s="220"/>
    </row>
    <row r="4" spans="2:55" ht="114" customHeight="1" thickBot="1">
      <c r="B4" s="211" t="s">
        <v>275</v>
      </c>
      <c r="C4" s="441" t="s">
        <v>364</v>
      </c>
      <c r="D4" s="442"/>
      <c r="E4" s="150"/>
      <c r="G4" s="186" t="s">
        <v>11</v>
      </c>
      <c r="H4" s="443" t="str">
        <f>IF(COUNTIF(BB6,"0")&gt;0,"PASA","NO PASA")</f>
        <v>PASA</v>
      </c>
      <c r="I4" s="444"/>
      <c r="J4" s="445"/>
      <c r="BA4" s="221" t="s">
        <v>174</v>
      </c>
      <c r="BB4" s="123">
        <f>COUNTIF(E17:F23,BA4)</f>
        <v>0</v>
      </c>
      <c r="BC4" s="225" t="s">
        <v>262</v>
      </c>
    </row>
    <row r="5" spans="2:55" ht="55.5" customHeight="1" thickBot="1">
      <c r="B5" s="236" t="s">
        <v>203</v>
      </c>
      <c r="C5" s="446">
        <v>46269</v>
      </c>
      <c r="D5" s="579"/>
      <c r="G5" s="228" t="s">
        <v>198</v>
      </c>
      <c r="H5" s="185" t="s">
        <v>3</v>
      </c>
      <c r="I5" s="229" t="s">
        <v>4</v>
      </c>
      <c r="J5" s="230" t="s">
        <v>5</v>
      </c>
      <c r="BC5" s="225"/>
    </row>
    <row r="6" spans="2:55" ht="48" customHeight="1" thickBot="1">
      <c r="C6" s="122"/>
      <c r="E6" s="128"/>
      <c r="G6" s="187" t="s">
        <v>254</v>
      </c>
      <c r="H6" s="160">
        <v>31</v>
      </c>
      <c r="I6" s="160">
        <f>SUM(F25:F31)</f>
        <v>29</v>
      </c>
      <c r="J6" s="167">
        <f t="shared" ref="J6:J9" si="0">I6/H6</f>
        <v>0.93548387096774188</v>
      </c>
      <c r="BA6" s="221" t="s">
        <v>193</v>
      </c>
      <c r="BB6" s="123">
        <f>COUNTIF(E17:F23,BA6)</f>
        <v>0</v>
      </c>
      <c r="BC6" s="225" t="s">
        <v>263</v>
      </c>
    </row>
    <row r="7" spans="2:55" ht="48" customHeight="1" thickBot="1">
      <c r="B7" s="448" t="s">
        <v>243</v>
      </c>
      <c r="C7" s="451" t="s">
        <v>252</v>
      </c>
      <c r="D7" s="452"/>
      <c r="E7" s="164"/>
      <c r="G7" s="168" t="s">
        <v>199</v>
      </c>
      <c r="H7" s="169">
        <v>18</v>
      </c>
      <c r="I7" s="169">
        <f>SUM(F32:F35)</f>
        <v>13</v>
      </c>
      <c r="J7" s="170">
        <f t="shared" si="0"/>
        <v>0.72222222222222221</v>
      </c>
      <c r="BA7" s="224" t="s">
        <v>261</v>
      </c>
      <c r="BB7" s="123">
        <f>COUNTIF(E17:F23,BA7)</f>
        <v>0</v>
      </c>
      <c r="BC7" s="225" t="s">
        <v>264</v>
      </c>
    </row>
    <row r="8" spans="2:55" ht="48" customHeight="1" thickBot="1">
      <c r="B8" s="449"/>
      <c r="C8" s="453" t="s">
        <v>253</v>
      </c>
      <c r="D8" s="454"/>
      <c r="E8" s="165"/>
      <c r="G8" s="187" t="s">
        <v>200</v>
      </c>
      <c r="H8" s="160">
        <v>31</v>
      </c>
      <c r="I8" s="160">
        <f>SUM(F36:F40)</f>
        <v>24</v>
      </c>
      <c r="J8" s="167">
        <f t="shared" si="0"/>
        <v>0.77419354838709675</v>
      </c>
      <c r="R8" s="237"/>
    </row>
    <row r="9" spans="2:55" ht="63" customHeight="1" thickBot="1">
      <c r="B9" s="450"/>
      <c r="C9" s="455"/>
      <c r="D9" s="456"/>
      <c r="E9" s="165"/>
      <c r="G9" s="168" t="s">
        <v>255</v>
      </c>
      <c r="H9" s="169">
        <v>19</v>
      </c>
      <c r="I9" s="169">
        <f>SUM(F41:F45)</f>
        <v>18</v>
      </c>
      <c r="J9" s="170">
        <f t="shared" si="0"/>
        <v>0.94736842105263153</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5</v>
      </c>
      <c r="J11" s="170">
        <f t="shared" ref="J11:J12" si="1">I11/H11</f>
        <v>1</v>
      </c>
    </row>
    <row r="12" spans="2:55" ht="72.75" customHeight="1" thickBot="1">
      <c r="B12" s="219" t="s">
        <v>244</v>
      </c>
      <c r="C12" s="459" t="s">
        <v>246</v>
      </c>
      <c r="D12" s="460"/>
      <c r="E12" s="166"/>
      <c r="G12" s="198" t="s">
        <v>271</v>
      </c>
      <c r="H12" s="199">
        <f>SUM(H6:H11)</f>
        <v>117</v>
      </c>
      <c r="I12" s="199">
        <f>SUM(I6:I11)</f>
        <v>102</v>
      </c>
      <c r="J12" s="200">
        <f t="shared" si="1"/>
        <v>0.87179487179487181</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0.87179487179487181</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K20" s="173"/>
      <c r="V20" s="122"/>
      <c r="AY20" s="172" t="str">
        <f t="shared" si="2"/>
        <v>Yes</v>
      </c>
      <c r="BA20" s="222"/>
      <c r="BB20" s="122"/>
      <c r="BC20" s="122"/>
    </row>
    <row r="21" spans="2:58" s="172" customFormat="1" ht="45.95" customHeight="1">
      <c r="B21" s="449"/>
      <c r="C21" s="214">
        <v>5</v>
      </c>
      <c r="D21" s="215" t="s">
        <v>213</v>
      </c>
      <c r="E21" s="478" t="s">
        <v>266</v>
      </c>
      <c r="F21" s="479"/>
      <c r="G21" s="475"/>
      <c r="H21" s="476"/>
      <c r="I21" s="476"/>
      <c r="J21" s="476"/>
      <c r="K21" s="477"/>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497"/>
      <c r="H25" s="498"/>
      <c r="I25" s="498"/>
      <c r="J25" s="498"/>
      <c r="K25" s="499"/>
    </row>
    <row r="26" spans="2:58" ht="45.95" customHeight="1">
      <c r="B26" s="449"/>
      <c r="C26" s="127">
        <v>2</v>
      </c>
      <c r="D26" s="192" t="s">
        <v>219</v>
      </c>
      <c r="E26" s="140" t="s">
        <v>266</v>
      </c>
      <c r="F26" s="135">
        <f>IF(E26="Yes",5,0)</f>
        <v>5</v>
      </c>
      <c r="G26" s="500"/>
      <c r="H26" s="501"/>
      <c r="I26" s="501"/>
      <c r="J26" s="501"/>
      <c r="K26" s="502"/>
    </row>
    <row r="27" spans="2:58" ht="45.95" customHeight="1">
      <c r="B27" s="449"/>
      <c r="C27" s="143">
        <v>3</v>
      </c>
      <c r="D27" s="193" t="s">
        <v>216</v>
      </c>
      <c r="E27" s="177" t="s">
        <v>266</v>
      </c>
      <c r="F27" s="178">
        <f>IF(E27="Yes",5,0)</f>
        <v>5</v>
      </c>
      <c r="G27" s="503" t="s">
        <v>446</v>
      </c>
      <c r="H27" s="504"/>
      <c r="I27" s="504"/>
      <c r="J27" s="504"/>
      <c r="K27" s="505"/>
    </row>
    <row r="28" spans="2:58" ht="51.75" customHeight="1">
      <c r="B28" s="449"/>
      <c r="C28" s="127">
        <v>4</v>
      </c>
      <c r="D28" s="192" t="s">
        <v>217</v>
      </c>
      <c r="E28" s="140" t="s">
        <v>193</v>
      </c>
      <c r="F28" s="135">
        <f t="shared" ref="F28:F32" si="3">IF(E28="Yes",1,0)</f>
        <v>0</v>
      </c>
      <c r="G28" s="500" t="s">
        <v>444</v>
      </c>
      <c r="H28" s="501"/>
      <c r="I28" s="501"/>
      <c r="J28" s="501"/>
      <c r="K28" s="502"/>
    </row>
    <row r="29" spans="2:58" ht="50.25" customHeight="1">
      <c r="B29" s="449"/>
      <c r="C29" s="151">
        <v>5</v>
      </c>
      <c r="D29" s="193" t="s">
        <v>218</v>
      </c>
      <c r="E29" s="177" t="s">
        <v>193</v>
      </c>
      <c r="F29" s="178">
        <f t="shared" si="3"/>
        <v>0</v>
      </c>
      <c r="G29" s="509" t="s">
        <v>374</v>
      </c>
      <c r="H29" s="510"/>
      <c r="I29" s="510"/>
      <c r="J29" s="510"/>
      <c r="K29" s="511"/>
    </row>
    <row r="30" spans="2:58" ht="47.25" customHeight="1">
      <c r="B30" s="449"/>
      <c r="C30" s="131">
        <v>6</v>
      </c>
      <c r="D30" s="192" t="s">
        <v>220</v>
      </c>
      <c r="E30" s="140" t="s">
        <v>266</v>
      </c>
      <c r="F30" s="135">
        <f>IF(E30="Yes",7,0)</f>
        <v>7</v>
      </c>
      <c r="G30" s="563"/>
      <c r="H30" s="564"/>
      <c r="I30" s="564"/>
      <c r="J30" s="564"/>
      <c r="K30" s="565"/>
    </row>
    <row r="31" spans="2:58" ht="48.75" customHeight="1" thickBot="1">
      <c r="B31" s="450"/>
      <c r="C31" s="158">
        <v>7</v>
      </c>
      <c r="D31" s="194" t="s">
        <v>221</v>
      </c>
      <c r="E31" s="179" t="s">
        <v>266</v>
      </c>
      <c r="F31" s="180">
        <f>IF(E31="Yes",7,0)</f>
        <v>7</v>
      </c>
      <c r="G31" s="606"/>
      <c r="H31" s="607"/>
      <c r="I31" s="607"/>
      <c r="J31" s="607"/>
      <c r="K31" s="608"/>
    </row>
    <row r="32" spans="2:58" ht="48.75" customHeight="1">
      <c r="B32" s="448" t="s">
        <v>257</v>
      </c>
      <c r="C32" s="227">
        <v>1</v>
      </c>
      <c r="D32" s="206" t="s">
        <v>222</v>
      </c>
      <c r="E32" s="181" t="s">
        <v>266</v>
      </c>
      <c r="F32" s="182">
        <f t="shared" si="3"/>
        <v>1</v>
      </c>
      <c r="G32" s="512"/>
      <c r="H32" s="513"/>
      <c r="I32" s="513"/>
      <c r="J32" s="513"/>
      <c r="K32" s="514"/>
    </row>
    <row r="33" spans="2:11" ht="45.95" customHeight="1">
      <c r="B33" s="449"/>
      <c r="C33" s="143">
        <v>2</v>
      </c>
      <c r="D33" s="203" t="s">
        <v>223</v>
      </c>
      <c r="E33" s="177" t="s">
        <v>266</v>
      </c>
      <c r="F33" s="178">
        <f>IF(E33="Yes",5,0)</f>
        <v>5</v>
      </c>
      <c r="G33" s="503"/>
      <c r="H33" s="504"/>
      <c r="I33" s="504"/>
      <c r="J33" s="504"/>
      <c r="K33" s="505"/>
    </row>
    <row r="34" spans="2:11" ht="45.95" customHeight="1">
      <c r="B34" s="449"/>
      <c r="C34" s="131">
        <v>3</v>
      </c>
      <c r="D34" s="202" t="s">
        <v>224</v>
      </c>
      <c r="E34" s="140" t="s">
        <v>193</v>
      </c>
      <c r="F34" s="135">
        <f>IF(E34="Yes",5,0)</f>
        <v>0</v>
      </c>
      <c r="G34" s="500" t="s">
        <v>371</v>
      </c>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193</v>
      </c>
      <c r="F36" s="182">
        <f>IF(E36="Yes",7,0)</f>
        <v>0</v>
      </c>
      <c r="G36" s="488" t="s">
        <v>447</v>
      </c>
      <c r="H36" s="489"/>
      <c r="I36" s="489"/>
      <c r="J36" s="489"/>
      <c r="K36" s="490"/>
    </row>
    <row r="37" spans="2:11" ht="45.95" customHeight="1">
      <c r="B37" s="449"/>
      <c r="C37" s="174">
        <v>2</v>
      </c>
      <c r="D37" s="203" t="s">
        <v>226</v>
      </c>
      <c r="E37" s="177" t="s">
        <v>266</v>
      </c>
      <c r="F37" s="178">
        <f>IF(E37="Yes",5,0)</f>
        <v>5</v>
      </c>
      <c r="G37" s="195"/>
      <c r="H37" s="196"/>
      <c r="I37" s="196"/>
      <c r="J37" s="196"/>
      <c r="K37" s="197"/>
    </row>
    <row r="38" spans="2:11" ht="50.25"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266</v>
      </c>
      <c r="F39" s="178">
        <f>IF(OR(E39="Yes",E39="NA"),7,0)</f>
        <v>7</v>
      </c>
      <c r="G39" s="195"/>
      <c r="H39" s="196"/>
      <c r="I39" s="196"/>
      <c r="J39" s="196"/>
      <c r="K39" s="197"/>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149"/>
      <c r="H41" s="147"/>
      <c r="I41" s="147"/>
      <c r="J41" s="147"/>
      <c r="K41" s="148"/>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193</v>
      </c>
      <c r="F44" s="135">
        <f>IF(E44="Yes",1,0)</f>
        <v>0</v>
      </c>
      <c r="G44" s="500" t="s">
        <v>445</v>
      </c>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315</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266</v>
      </c>
      <c r="F53" s="190">
        <f>IF(E53="Yes",1,0)</f>
        <v>1</v>
      </c>
      <c r="G53" s="503"/>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31:K31"/>
    <mergeCell ref="G30:K30"/>
    <mergeCell ref="G29:K29"/>
    <mergeCell ref="B41:B45"/>
    <mergeCell ref="G42:K42"/>
    <mergeCell ref="G43:K43"/>
    <mergeCell ref="B32:B35"/>
    <mergeCell ref="G32:K32"/>
    <mergeCell ref="G33:K33"/>
    <mergeCell ref="G34:K34"/>
    <mergeCell ref="G35:K35"/>
    <mergeCell ref="G44:K44"/>
    <mergeCell ref="G45:K45"/>
    <mergeCell ref="B46:B48"/>
    <mergeCell ref="G46:K46"/>
    <mergeCell ref="G47:K47"/>
    <mergeCell ref="G48:K48"/>
    <mergeCell ref="B49:B53"/>
    <mergeCell ref="G49:K49"/>
    <mergeCell ref="G50:K50"/>
    <mergeCell ref="G51:K51"/>
    <mergeCell ref="G52:K52"/>
    <mergeCell ref="G53:K53"/>
  </mergeCells>
  <conditionalFormatting sqref="E17:E23">
    <cfRule type="notContainsText" dxfId="79" priority="9" operator="notContains" text="YES">
      <formula>ISERROR(SEARCH("YES",E17))</formula>
    </cfRule>
  </conditionalFormatting>
  <conditionalFormatting sqref="E43:E53">
    <cfRule type="containsText" dxfId="78" priority="7" operator="containsText" text="No">
      <formula>NOT(ISERROR(SEARCH("No",E43)))</formula>
    </cfRule>
  </conditionalFormatting>
  <conditionalFormatting sqref="E25:F42">
    <cfRule type="containsText" dxfId="77" priority="8" operator="containsText" text="No">
      <formula>NOT(ISERROR(SEARCH("No",E25)))</formula>
    </cfRule>
  </conditionalFormatting>
  <conditionalFormatting sqref="H4:J4">
    <cfRule type="cellIs" dxfId="76" priority="1" operator="equal">
      <formula>"NO PASA"</formula>
    </cfRule>
    <cfRule type="cellIs" dxfId="75" priority="2" operator="equal">
      <formula>"NO PASA"</formula>
    </cfRule>
    <cfRule type="cellIs" dxfId="74" priority="3" operator="equal">
      <formula>"PASA"</formula>
    </cfRule>
    <cfRule type="cellIs" dxfId="73" priority="4" operator="equal">
      <formula>"PASA"</formula>
    </cfRule>
    <cfRule type="cellIs" dxfId="72" priority="5" operator="equal">
      <formula>"NO PASA"</formula>
    </cfRule>
    <cfRule type="containsText" dxfId="71" priority="6" operator="containsText" text="PASA">
      <formula>NOT(ISERROR(SEARCH("PASA",H4)))</formula>
    </cfRule>
    <cfRule type="cellIs" dxfId="70" priority="13" operator="equal">
      <formula>$BC$7</formula>
    </cfRule>
    <cfRule type="cellIs" dxfId="69" priority="14" operator="equal">
      <formula>$BC$6</formula>
    </cfRule>
    <cfRule type="cellIs" dxfId="68" priority="15" operator="equal">
      <formula>$BC$4</formula>
    </cfRule>
  </conditionalFormatting>
  <conditionalFormatting sqref="I14">
    <cfRule type="cellIs" dxfId="67" priority="10" operator="greaterThanOrEqual">
      <formula>0.9</formula>
    </cfRule>
    <cfRule type="cellIs" dxfId="66" priority="11" operator="between">
      <formula>0.71</formula>
      <formula>0.9</formula>
    </cfRule>
    <cfRule type="cellIs" dxfId="65" priority="12" operator="lessThan">
      <formula>0.71</formula>
    </cfRule>
  </conditionalFormatting>
  <dataValidations count="3">
    <dataValidation type="list" allowBlank="1" showInputMessage="1" showErrorMessage="1" sqref="E17:E23" xr:uid="{00000000-0002-0000-1E00-000000000000}">
      <formula1>"Yes,No,Cured in Moment"</formula1>
    </dataValidation>
    <dataValidation type="list" allowBlank="1" showInputMessage="1" showErrorMessage="1" sqref="E52:E53 E25:E37 E40:E49" xr:uid="{00000000-0002-0000-1E00-000001000000}">
      <formula1>"Yes,No"</formula1>
    </dataValidation>
    <dataValidation type="list" allowBlank="1" showInputMessage="1" showErrorMessage="1" sqref="E38:E39 E50:E51" xr:uid="{00000000-0002-0000-1E00-000002000000}">
      <formula1>"Yes,No,NA"</formula1>
    </dataValidation>
  </dataValidations>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1" tint="0.499984740745262"/>
  </sheetPr>
  <dimension ref="B1:H103"/>
  <sheetViews>
    <sheetView topLeftCell="A2" zoomScale="50" zoomScaleNormal="50" workbookViewId="0">
      <selection activeCell="F11" sqref="F11"/>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104.25" customHeight="1">
      <c r="B7" s="300" t="s">
        <v>448</v>
      </c>
      <c r="C7" s="130" t="s">
        <v>385</v>
      </c>
      <c r="D7" s="284">
        <v>46295</v>
      </c>
      <c r="E7" s="130"/>
      <c r="F7" s="134"/>
    </row>
    <row r="8" spans="2:8" ht="60.75" customHeight="1">
      <c r="B8" s="301" t="s">
        <v>449</v>
      </c>
      <c r="C8" s="130" t="s">
        <v>385</v>
      </c>
      <c r="D8" s="284">
        <v>46295</v>
      </c>
      <c r="E8" s="127"/>
      <c r="F8" s="135"/>
    </row>
    <row r="9" spans="2:8" ht="69.75" customHeight="1">
      <c r="B9" s="302" t="s">
        <v>450</v>
      </c>
      <c r="C9" s="130" t="s">
        <v>385</v>
      </c>
      <c r="D9" s="138" t="s">
        <v>391</v>
      </c>
      <c r="E9" s="127"/>
      <c r="F9" s="136"/>
    </row>
    <row r="10" spans="2:8" ht="51.75" customHeight="1">
      <c r="B10" s="302" t="s">
        <v>451</v>
      </c>
      <c r="C10" s="130" t="s">
        <v>385</v>
      </c>
      <c r="D10" s="284">
        <v>46295</v>
      </c>
      <c r="E10" s="131"/>
      <c r="F10" s="136"/>
    </row>
    <row r="11" spans="2:8" ht="39.950000000000003" customHeight="1">
      <c r="B11" s="301"/>
      <c r="C11" s="130"/>
      <c r="D11" s="131"/>
      <c r="E11" s="131"/>
      <c r="F11" s="136"/>
    </row>
    <row r="12" spans="2:8" ht="44.1" customHeight="1">
      <c r="B12" s="304"/>
      <c r="C12" s="130"/>
      <c r="D12" s="131"/>
      <c r="E12" s="131"/>
      <c r="F12" s="136"/>
    </row>
    <row r="13" spans="2:8" s="126" customFormat="1" ht="30.95" customHeight="1">
      <c r="B13" s="141"/>
      <c r="C13" s="130"/>
      <c r="D13" s="131"/>
      <c r="E13" s="131"/>
      <c r="F13" s="136"/>
    </row>
    <row r="14" spans="2:8" ht="39.950000000000003" customHeight="1">
      <c r="B14" s="141"/>
      <c r="C14" s="130"/>
      <c r="D14" s="131"/>
      <c r="E14" s="131"/>
      <c r="F14" s="136"/>
    </row>
    <row r="15" spans="2:8" ht="39.950000000000003" customHeight="1">
      <c r="B15" s="303"/>
      <c r="C15" s="130"/>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316</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64" priority="1" stopIfTrue="1">
      <formula>IF($E31="NA",TRUE,FALSE)</formula>
    </cfRule>
  </conditionalFormatting>
  <dataValidations count="3">
    <dataValidation type="list" allowBlank="1" showInputMessage="1" showErrorMessage="1" sqref="E5:E6 E20:E21 E34:E35" xr:uid="{00000000-0002-0000-1F00-000000000000}">
      <formula1>"Yes,No,Cured in Moment"</formula1>
    </dataValidation>
    <dataValidation type="list" allowBlank="1" showInputMessage="1" showErrorMessage="1" sqref="E17" xr:uid="{00000000-0002-0000-1F00-000001000000}">
      <formula1>"Yes,No"</formula1>
    </dataValidation>
    <dataValidation type="list" allowBlank="1" showInputMessage="1" showErrorMessage="1" sqref="E31" xr:uid="{00000000-0002-0000-1F00-000002000000}">
      <formula1>"Yes,No,NA"</formula1>
    </dataValidation>
  </dataValidation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00B0F0"/>
  </sheetPr>
  <dimension ref="B1:BF56"/>
  <sheetViews>
    <sheetView topLeftCell="A35" zoomScale="60" zoomScaleNormal="60" workbookViewId="0">
      <selection activeCell="G44" sqref="G44:K44"/>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60.75" customHeight="1" thickBot="1">
      <c r="B3" s="210" t="s">
        <v>208</v>
      </c>
      <c r="C3" s="547" t="s">
        <v>332</v>
      </c>
      <c r="D3" s="548"/>
      <c r="E3" s="161"/>
      <c r="G3" s="220"/>
      <c r="H3" s="220"/>
      <c r="I3" s="220"/>
      <c r="J3" s="220"/>
    </row>
    <row r="4" spans="2:55" ht="114" customHeight="1" thickBot="1">
      <c r="B4" s="211" t="s">
        <v>275</v>
      </c>
      <c r="C4" s="441" t="s">
        <v>357</v>
      </c>
      <c r="D4" s="442"/>
      <c r="E4" s="150"/>
      <c r="G4" s="186" t="s">
        <v>11</v>
      </c>
      <c r="H4" s="443" t="str">
        <f>IF(COUNTIF(BB6,"0")&gt;0,"PASA","NO PASA")</f>
        <v>PASA</v>
      </c>
      <c r="I4" s="444"/>
      <c r="J4" s="445"/>
      <c r="BA4" s="221" t="s">
        <v>174</v>
      </c>
      <c r="BB4" s="123">
        <f>COUNTIF(E17:F23,BA4)</f>
        <v>0</v>
      </c>
      <c r="BC4" s="225" t="s">
        <v>262</v>
      </c>
    </row>
    <row r="5" spans="2:55" ht="55.5" customHeight="1" thickBot="1">
      <c r="B5" s="236" t="s">
        <v>203</v>
      </c>
      <c r="C5" s="446">
        <v>46281</v>
      </c>
      <c r="D5" s="447"/>
      <c r="G5" s="228" t="s">
        <v>198</v>
      </c>
      <c r="H5" s="185" t="s">
        <v>3</v>
      </c>
      <c r="I5" s="229" t="s">
        <v>4</v>
      </c>
      <c r="J5" s="230" t="s">
        <v>5</v>
      </c>
      <c r="BC5" s="225"/>
    </row>
    <row r="6" spans="2:55" ht="48" customHeight="1" thickBot="1">
      <c r="C6" s="122"/>
      <c r="E6" s="128"/>
      <c r="G6" s="187" t="s">
        <v>254</v>
      </c>
      <c r="H6" s="160">
        <v>31</v>
      </c>
      <c r="I6" s="160">
        <f>SUM(F25:F31)</f>
        <v>26</v>
      </c>
      <c r="J6" s="167">
        <f t="shared" ref="J6:J9" si="0">I6/H6</f>
        <v>0.83870967741935487</v>
      </c>
      <c r="BA6" s="221" t="s">
        <v>193</v>
      </c>
      <c r="BB6" s="123">
        <f>COUNTIF(E17:F23,BA6)</f>
        <v>0</v>
      </c>
      <c r="BC6" s="225" t="s">
        <v>263</v>
      </c>
    </row>
    <row r="7" spans="2:55" ht="48" customHeight="1" thickBot="1">
      <c r="B7" s="448" t="s">
        <v>243</v>
      </c>
      <c r="C7" s="451" t="s">
        <v>252</v>
      </c>
      <c r="D7" s="452"/>
      <c r="E7" s="164"/>
      <c r="G7" s="168" t="s">
        <v>199</v>
      </c>
      <c r="H7" s="169">
        <v>18</v>
      </c>
      <c r="I7" s="169">
        <f>SUM(F32:F35)</f>
        <v>13</v>
      </c>
      <c r="J7" s="170">
        <f t="shared" si="0"/>
        <v>0.72222222222222221</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14</v>
      </c>
      <c r="J9" s="170">
        <f t="shared" si="0"/>
        <v>0.73684210526315785</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5</v>
      </c>
      <c r="J11" s="170">
        <f t="shared" ref="J11:J12" si="1">I11/H11</f>
        <v>1</v>
      </c>
    </row>
    <row r="12" spans="2:55" ht="72.75" customHeight="1" thickBot="1">
      <c r="B12" s="219" t="s">
        <v>244</v>
      </c>
      <c r="C12" s="459" t="s">
        <v>246</v>
      </c>
      <c r="D12" s="460"/>
      <c r="E12" s="166"/>
      <c r="G12" s="198" t="s">
        <v>271</v>
      </c>
      <c r="H12" s="199">
        <f>SUM(H6:H11)</f>
        <v>117</v>
      </c>
      <c r="I12" s="199">
        <f>SUM(I6:I11)</f>
        <v>102</v>
      </c>
      <c r="J12" s="200">
        <f t="shared" si="1"/>
        <v>0.87179487179487181</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0.87179487179487181</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K20" s="173"/>
      <c r="V20" s="122"/>
      <c r="AY20" s="172" t="str">
        <f t="shared" si="2"/>
        <v>Yes</v>
      </c>
      <c r="BA20" s="222"/>
      <c r="BB20" s="122"/>
      <c r="BC20" s="122"/>
    </row>
    <row r="21" spans="2:58" s="172" customFormat="1" ht="45.95" customHeight="1">
      <c r="B21" s="449"/>
      <c r="C21" s="214">
        <v>5</v>
      </c>
      <c r="D21" s="215" t="s">
        <v>213</v>
      </c>
      <c r="E21" s="478" t="s">
        <v>266</v>
      </c>
      <c r="F21" s="479"/>
      <c r="G21" s="475"/>
      <c r="H21" s="476"/>
      <c r="I21" s="476"/>
      <c r="J21" s="476"/>
      <c r="K21" s="477"/>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c r="H24" s="466"/>
      <c r="I24" s="466"/>
      <c r="J24" s="466"/>
      <c r="K24" s="467"/>
    </row>
    <row r="25" spans="2:58" ht="63.75" customHeight="1">
      <c r="B25" s="449" t="s">
        <v>254</v>
      </c>
      <c r="C25" s="174">
        <v>1</v>
      </c>
      <c r="D25" s="191" t="s">
        <v>259</v>
      </c>
      <c r="E25" s="175" t="s">
        <v>193</v>
      </c>
      <c r="F25" s="176">
        <f>IF(E25="Yes",5,0)</f>
        <v>0</v>
      </c>
      <c r="G25" s="497" t="s">
        <v>376</v>
      </c>
      <c r="H25" s="498"/>
      <c r="I25" s="498"/>
      <c r="J25" s="498"/>
      <c r="K25" s="499"/>
    </row>
    <row r="26" spans="2:58" ht="45.95" customHeight="1">
      <c r="B26" s="449"/>
      <c r="C26" s="127">
        <v>2</v>
      </c>
      <c r="D26" s="192" t="s">
        <v>219</v>
      </c>
      <c r="E26" s="140" t="s">
        <v>266</v>
      </c>
      <c r="F26" s="135">
        <f>IF(E26="Yes",5,0)</f>
        <v>5</v>
      </c>
      <c r="G26" s="500"/>
      <c r="H26" s="501"/>
      <c r="I26" s="501"/>
      <c r="J26" s="501"/>
      <c r="K26" s="502"/>
    </row>
    <row r="27" spans="2:58" ht="45.95" customHeight="1">
      <c r="B27" s="449"/>
      <c r="C27" s="143">
        <v>3</v>
      </c>
      <c r="D27" s="193" t="s">
        <v>216</v>
      </c>
      <c r="E27" s="177" t="s">
        <v>266</v>
      </c>
      <c r="F27" s="178">
        <f>IF(E27="Yes",5,0)</f>
        <v>5</v>
      </c>
      <c r="G27" s="503"/>
      <c r="H27" s="504"/>
      <c r="I27" s="504"/>
      <c r="J27" s="504"/>
      <c r="K27" s="505"/>
    </row>
    <row r="28" spans="2:58" ht="51.75" customHeight="1">
      <c r="B28" s="449"/>
      <c r="C28" s="127">
        <v>4</v>
      </c>
      <c r="D28" s="192" t="s">
        <v>217</v>
      </c>
      <c r="E28" s="140" t="s">
        <v>266</v>
      </c>
      <c r="F28" s="135">
        <f t="shared" ref="F28:F32" si="3">IF(E28="Yes",1,0)</f>
        <v>1</v>
      </c>
      <c r="G28" s="500"/>
      <c r="H28" s="501"/>
      <c r="I28" s="501"/>
      <c r="J28" s="501"/>
      <c r="K28" s="502"/>
    </row>
    <row r="29" spans="2:58" ht="50.25" customHeight="1">
      <c r="B29" s="449"/>
      <c r="C29" s="151">
        <v>5</v>
      </c>
      <c r="D29" s="193" t="s">
        <v>218</v>
      </c>
      <c r="E29" s="177" t="s">
        <v>266</v>
      </c>
      <c r="F29" s="178">
        <f t="shared" si="3"/>
        <v>1</v>
      </c>
      <c r="G29" s="144"/>
      <c r="H29" s="145"/>
      <c r="I29" s="145"/>
      <c r="J29" s="145"/>
      <c r="K29" s="146"/>
    </row>
    <row r="30" spans="2:58" ht="47.25" customHeight="1">
      <c r="B30" s="449"/>
      <c r="C30" s="131">
        <v>6</v>
      </c>
      <c r="D30" s="192" t="s">
        <v>220</v>
      </c>
      <c r="E30" s="140" t="s">
        <v>266</v>
      </c>
      <c r="F30" s="135">
        <f>IF(E30="Yes",7,0)</f>
        <v>7</v>
      </c>
      <c r="G30" s="500"/>
      <c r="H30" s="501"/>
      <c r="I30" s="501"/>
      <c r="J30" s="501"/>
      <c r="K30" s="502"/>
    </row>
    <row r="31" spans="2:58" ht="48.75" customHeight="1" thickBot="1">
      <c r="B31" s="450"/>
      <c r="C31" s="158">
        <v>7</v>
      </c>
      <c r="D31" s="194" t="s">
        <v>221</v>
      </c>
      <c r="E31" s="179" t="s">
        <v>266</v>
      </c>
      <c r="F31" s="180">
        <f>IF(E31="Yes",7,0)</f>
        <v>7</v>
      </c>
      <c r="G31" s="545"/>
      <c r="H31" s="546"/>
      <c r="I31" s="546"/>
      <c r="J31" s="546"/>
      <c r="K31" s="562"/>
    </row>
    <row r="32" spans="2:58" ht="48.75" customHeight="1">
      <c r="B32" s="448" t="s">
        <v>257</v>
      </c>
      <c r="C32" s="227">
        <v>1</v>
      </c>
      <c r="D32" s="206" t="s">
        <v>222</v>
      </c>
      <c r="E32" s="181" t="s">
        <v>266</v>
      </c>
      <c r="F32" s="182">
        <f t="shared" si="3"/>
        <v>1</v>
      </c>
      <c r="G32" s="512"/>
      <c r="H32" s="513"/>
      <c r="I32" s="513"/>
      <c r="J32" s="513"/>
      <c r="K32" s="514"/>
    </row>
    <row r="33" spans="2:11" ht="45.95" customHeight="1">
      <c r="B33" s="449"/>
      <c r="C33" s="143">
        <v>2</v>
      </c>
      <c r="D33" s="203" t="s">
        <v>223</v>
      </c>
      <c r="E33" s="177" t="s">
        <v>266</v>
      </c>
      <c r="F33" s="178">
        <f>IF(E33="Yes",5,0)</f>
        <v>5</v>
      </c>
      <c r="G33" s="503"/>
      <c r="H33" s="504"/>
      <c r="I33" s="504"/>
      <c r="J33" s="504"/>
      <c r="K33" s="505"/>
    </row>
    <row r="34" spans="2:11" ht="45.95" customHeight="1" thickBot="1">
      <c r="B34" s="449"/>
      <c r="C34" s="131">
        <v>3</v>
      </c>
      <c r="D34" s="202" t="s">
        <v>224</v>
      </c>
      <c r="E34" s="140" t="s">
        <v>193</v>
      </c>
      <c r="F34" s="135">
        <f>IF(E34="Yes",5,0)</f>
        <v>0</v>
      </c>
      <c r="G34" s="515" t="s">
        <v>513</v>
      </c>
      <c r="H34" s="516"/>
      <c r="I34" s="516"/>
      <c r="J34" s="516"/>
      <c r="K34" s="517"/>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195"/>
      <c r="H37" s="196"/>
      <c r="I37" s="196"/>
      <c r="J37" s="196"/>
      <c r="K37" s="197"/>
    </row>
    <row r="38" spans="2:11" ht="50.25"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266</v>
      </c>
      <c r="F39" s="178">
        <f>IF(OR(E39="Yes",E39="NA"),7,0)</f>
        <v>7</v>
      </c>
      <c r="G39" s="195"/>
      <c r="H39" s="196"/>
      <c r="I39" s="196"/>
      <c r="J39" s="196"/>
      <c r="K39" s="197"/>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518"/>
      <c r="H41" s="519"/>
      <c r="I41" s="519"/>
      <c r="J41" s="519"/>
      <c r="K41" s="520"/>
    </row>
    <row r="42" spans="2:11" ht="47.25" customHeight="1">
      <c r="B42" s="449"/>
      <c r="C42" s="127">
        <v>2</v>
      </c>
      <c r="D42" s="202" t="s">
        <v>237</v>
      </c>
      <c r="E42" s="140" t="s">
        <v>193</v>
      </c>
      <c r="F42" s="135">
        <f>IF(E42="Yes",5,0)</f>
        <v>0</v>
      </c>
      <c r="G42" s="500" t="s">
        <v>512</v>
      </c>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266</v>
      </c>
      <c r="F44" s="135">
        <f>IF(E44="Yes",1,0)</f>
        <v>1</v>
      </c>
      <c r="G44" s="500"/>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315</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266</v>
      </c>
      <c r="F53" s="190">
        <f>IF(E53="Yes",1,0)</f>
        <v>1</v>
      </c>
      <c r="G53" s="503"/>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30:K30"/>
    <mergeCell ref="G31:K31"/>
    <mergeCell ref="B41:B45"/>
    <mergeCell ref="G42:K42"/>
    <mergeCell ref="G43:K43"/>
    <mergeCell ref="B32:B35"/>
    <mergeCell ref="G32:K32"/>
    <mergeCell ref="G33:K33"/>
    <mergeCell ref="G34:K34"/>
    <mergeCell ref="G35:K35"/>
    <mergeCell ref="G44:K44"/>
    <mergeCell ref="G45:K45"/>
    <mergeCell ref="G41:K41"/>
    <mergeCell ref="B46:B48"/>
    <mergeCell ref="G46:K46"/>
    <mergeCell ref="G47:K47"/>
    <mergeCell ref="G48:K48"/>
    <mergeCell ref="B49:B53"/>
    <mergeCell ref="G49:K49"/>
    <mergeCell ref="G50:K50"/>
    <mergeCell ref="G51:K51"/>
    <mergeCell ref="G52:K52"/>
    <mergeCell ref="G53:K53"/>
  </mergeCells>
  <conditionalFormatting sqref="E17:E23">
    <cfRule type="notContainsText" dxfId="63" priority="9" operator="notContains" text="YES">
      <formula>ISERROR(SEARCH("YES",E17))</formula>
    </cfRule>
  </conditionalFormatting>
  <conditionalFormatting sqref="E43:E53">
    <cfRule type="containsText" dxfId="62" priority="7" operator="containsText" text="No">
      <formula>NOT(ISERROR(SEARCH("No",E43)))</formula>
    </cfRule>
  </conditionalFormatting>
  <conditionalFormatting sqref="E25:F42">
    <cfRule type="containsText" dxfId="61" priority="8" operator="containsText" text="No">
      <formula>NOT(ISERROR(SEARCH("No",E25)))</formula>
    </cfRule>
  </conditionalFormatting>
  <conditionalFormatting sqref="H4:J4">
    <cfRule type="cellIs" dxfId="60" priority="1" operator="equal">
      <formula>"NO PASA"</formula>
    </cfRule>
    <cfRule type="cellIs" dxfId="59" priority="2" operator="equal">
      <formula>"NO PASA"</formula>
    </cfRule>
    <cfRule type="cellIs" dxfId="58" priority="3" operator="equal">
      <formula>"PASA"</formula>
    </cfRule>
    <cfRule type="cellIs" dxfId="57" priority="4" operator="equal">
      <formula>"PASA"</formula>
    </cfRule>
    <cfRule type="cellIs" dxfId="56" priority="5" operator="equal">
      <formula>"NO PASA"</formula>
    </cfRule>
    <cfRule type="containsText" dxfId="55" priority="6" operator="containsText" text="PASA">
      <formula>NOT(ISERROR(SEARCH("PASA",H4)))</formula>
    </cfRule>
    <cfRule type="cellIs" dxfId="54" priority="13" operator="equal">
      <formula>$BC$7</formula>
    </cfRule>
    <cfRule type="cellIs" dxfId="53" priority="14" operator="equal">
      <formula>$BC$6</formula>
    </cfRule>
    <cfRule type="cellIs" dxfId="52" priority="15" operator="equal">
      <formula>$BC$4</formula>
    </cfRule>
  </conditionalFormatting>
  <conditionalFormatting sqref="I14">
    <cfRule type="cellIs" dxfId="51" priority="10" operator="greaterThanOrEqual">
      <formula>0.9</formula>
    </cfRule>
    <cfRule type="cellIs" dxfId="50" priority="11" operator="between">
      <formula>0.71</formula>
      <formula>0.9</formula>
    </cfRule>
    <cfRule type="cellIs" dxfId="49" priority="12" operator="lessThan">
      <formula>0.71</formula>
    </cfRule>
  </conditionalFormatting>
  <dataValidations count="3">
    <dataValidation type="list" allowBlank="1" showInputMessage="1" showErrorMessage="1" sqref="E38:E39 E50:E51" xr:uid="{00000000-0002-0000-2000-000000000000}">
      <formula1>"Yes,No,NA"</formula1>
    </dataValidation>
    <dataValidation type="list" allowBlank="1" showInputMessage="1" showErrorMessage="1" sqref="E52:E53 E25:E37 E40:E49" xr:uid="{00000000-0002-0000-2000-000001000000}">
      <formula1>"Yes,No"</formula1>
    </dataValidation>
    <dataValidation type="list" allowBlank="1" showInputMessage="1" showErrorMessage="1" sqref="E17:E23" xr:uid="{00000000-0002-0000-2000-000002000000}">
      <formula1>"Yes,No,Cured in Moment"</formula1>
    </dataValidation>
  </dataValidation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00B0F0"/>
  </sheetPr>
  <dimension ref="B1:H103"/>
  <sheetViews>
    <sheetView topLeftCell="A4" zoomScale="50" zoomScaleNormal="50" workbookViewId="0">
      <selection activeCell="D9" sqref="D9"/>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66.75" customHeight="1">
      <c r="B7" s="306" t="s">
        <v>514</v>
      </c>
      <c r="C7" s="130" t="s">
        <v>386</v>
      </c>
      <c r="D7" s="284">
        <v>46295</v>
      </c>
      <c r="E7" s="130"/>
      <c r="F7" s="134"/>
    </row>
    <row r="8" spans="2:8" ht="69.75" customHeight="1">
      <c r="B8" s="306" t="s">
        <v>394</v>
      </c>
      <c r="C8" s="130" t="s">
        <v>386</v>
      </c>
      <c r="D8" s="138">
        <v>46295</v>
      </c>
      <c r="E8" s="127"/>
      <c r="F8" s="135"/>
    </row>
    <row r="9" spans="2:8" ht="78.75" customHeight="1">
      <c r="B9" s="302" t="s">
        <v>395</v>
      </c>
      <c r="C9" s="130" t="s">
        <v>386</v>
      </c>
      <c r="D9" s="138">
        <v>46295</v>
      </c>
      <c r="E9" s="127"/>
      <c r="F9" s="136"/>
    </row>
    <row r="10" spans="2:8" ht="83.25" customHeight="1">
      <c r="B10" s="302"/>
      <c r="C10" s="130"/>
      <c r="D10" s="284"/>
      <c r="E10" s="131"/>
      <c r="F10" s="136"/>
    </row>
    <row r="11" spans="2:8" ht="107.25" customHeight="1">
      <c r="B11" s="302"/>
      <c r="C11" s="130"/>
      <c r="D11" s="284"/>
      <c r="E11" s="131"/>
      <c r="F11" s="136"/>
    </row>
    <row r="12" spans="2:8" ht="44.1" customHeight="1">
      <c r="B12" s="302"/>
      <c r="C12" s="130"/>
      <c r="D12" s="131"/>
      <c r="E12" s="131"/>
      <c r="F12" s="136"/>
    </row>
    <row r="13" spans="2:8" s="126" customFormat="1" ht="30.95" customHeight="1">
      <c r="B13" s="302"/>
      <c r="C13" s="130"/>
      <c r="D13" s="131"/>
      <c r="E13" s="131"/>
      <c r="F13" s="136"/>
    </row>
    <row r="14" spans="2:8" ht="39.950000000000003" customHeight="1">
      <c r="B14" s="302"/>
      <c r="C14" s="130"/>
      <c r="D14" s="131"/>
      <c r="E14" s="131"/>
      <c r="F14" s="136"/>
    </row>
    <row r="15" spans="2:8" ht="39.950000000000003" customHeight="1">
      <c r="B15" s="302"/>
      <c r="C15" s="130"/>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316</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48" priority="1" stopIfTrue="1">
      <formula>IF($E31="NA",TRUE,FALSE)</formula>
    </cfRule>
  </conditionalFormatting>
  <dataValidations count="3">
    <dataValidation type="list" allowBlank="1" showInputMessage="1" showErrorMessage="1" sqref="E31" xr:uid="{00000000-0002-0000-2100-000000000000}">
      <formula1>"Yes,No,NA"</formula1>
    </dataValidation>
    <dataValidation type="list" allowBlank="1" showInputMessage="1" showErrorMessage="1" sqref="E17" xr:uid="{00000000-0002-0000-2100-000001000000}">
      <formula1>"Yes,No"</formula1>
    </dataValidation>
    <dataValidation type="list" allowBlank="1" showInputMessage="1" showErrorMessage="1" sqref="E5:E6 E20:E21 E34:E35" xr:uid="{00000000-0002-0000-2100-000002000000}">
      <formula1>"Yes,No,Cured in Moment"</formula1>
    </dataValidation>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92D050"/>
  </sheetPr>
  <dimension ref="B1:BF56"/>
  <sheetViews>
    <sheetView topLeftCell="A26" zoomScale="60" zoomScaleNormal="60" workbookViewId="0">
      <selection activeCell="G36" sqref="G36:K36"/>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60.75" customHeight="1" thickBot="1">
      <c r="B3" s="210" t="s">
        <v>208</v>
      </c>
      <c r="C3" s="547" t="s">
        <v>333</v>
      </c>
      <c r="D3" s="548"/>
      <c r="E3" s="161"/>
      <c r="G3" s="220"/>
      <c r="H3" s="220"/>
      <c r="I3" s="220"/>
      <c r="J3" s="220"/>
    </row>
    <row r="4" spans="2:55" ht="114" customHeight="1" thickBot="1">
      <c r="B4" s="211" t="s">
        <v>275</v>
      </c>
      <c r="C4" s="441" t="s">
        <v>357</v>
      </c>
      <c r="D4" s="442"/>
      <c r="E4" s="150"/>
      <c r="G4" s="186" t="s">
        <v>11</v>
      </c>
      <c r="H4" s="443" t="str">
        <f>IF(COUNTIF(BB6,"0")&gt;0,"PASA","NO PASA")</f>
        <v>PASA</v>
      </c>
      <c r="I4" s="444"/>
      <c r="J4" s="445"/>
      <c r="BA4" s="221" t="s">
        <v>174</v>
      </c>
      <c r="BB4" s="123">
        <f>COUNTIF(E17:F23,BA4)</f>
        <v>0</v>
      </c>
      <c r="BC4" s="225" t="s">
        <v>262</v>
      </c>
    </row>
    <row r="5" spans="2:55" ht="55.5" customHeight="1" thickBot="1">
      <c r="B5" s="236" t="s">
        <v>203</v>
      </c>
      <c r="C5" s="446">
        <v>46281</v>
      </c>
      <c r="D5" s="447"/>
      <c r="G5" s="228" t="s">
        <v>198</v>
      </c>
      <c r="H5" s="185" t="s">
        <v>3</v>
      </c>
      <c r="I5" s="229" t="s">
        <v>4</v>
      </c>
      <c r="J5" s="230" t="s">
        <v>5</v>
      </c>
      <c r="BC5" s="225"/>
    </row>
    <row r="6" spans="2:55" ht="48" customHeight="1" thickBot="1">
      <c r="C6" s="122"/>
      <c r="E6" s="128"/>
      <c r="G6" s="187" t="s">
        <v>254</v>
      </c>
      <c r="H6" s="160">
        <v>31</v>
      </c>
      <c r="I6" s="160">
        <f>SUM(F25:F31)</f>
        <v>23</v>
      </c>
      <c r="J6" s="167">
        <f t="shared" ref="J6:J9" si="0">I6/H6</f>
        <v>0.74193548387096775</v>
      </c>
      <c r="BA6" s="221" t="s">
        <v>193</v>
      </c>
      <c r="BB6" s="123">
        <f>COUNTIF(E17:F23,BA6)</f>
        <v>0</v>
      </c>
      <c r="BC6" s="225" t="s">
        <v>263</v>
      </c>
    </row>
    <row r="7" spans="2:55" ht="48" customHeight="1" thickBot="1">
      <c r="B7" s="448" t="s">
        <v>243</v>
      </c>
      <c r="C7" s="451" t="s">
        <v>252</v>
      </c>
      <c r="D7" s="452"/>
      <c r="E7" s="164"/>
      <c r="G7" s="168" t="s">
        <v>199</v>
      </c>
      <c r="H7" s="169">
        <v>18</v>
      </c>
      <c r="I7" s="169">
        <f>SUM(F32:F35)</f>
        <v>13</v>
      </c>
      <c r="J7" s="170">
        <f t="shared" si="0"/>
        <v>0.72222222222222221</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4</v>
      </c>
      <c r="J11" s="170">
        <f t="shared" ref="J11:J12" si="1">I11/H11</f>
        <v>0.8</v>
      </c>
    </row>
    <row r="12" spans="2:55" ht="72.75" customHeight="1" thickBot="1">
      <c r="B12" s="219" t="s">
        <v>244</v>
      </c>
      <c r="C12" s="459" t="s">
        <v>246</v>
      </c>
      <c r="D12" s="460"/>
      <c r="E12" s="166"/>
      <c r="G12" s="198" t="s">
        <v>271</v>
      </c>
      <c r="H12" s="199">
        <f>SUM(H6:H11)</f>
        <v>117</v>
      </c>
      <c r="I12" s="199">
        <f>SUM(I6:I11)</f>
        <v>103</v>
      </c>
      <c r="J12" s="200">
        <f t="shared" si="1"/>
        <v>0.88034188034188032</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0.88034188034188032</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K20" s="173"/>
      <c r="V20" s="122"/>
      <c r="AY20" s="172" t="str">
        <f t="shared" si="2"/>
        <v>Yes</v>
      </c>
      <c r="BA20" s="222"/>
      <c r="BB20" s="122"/>
      <c r="BC20" s="122"/>
    </row>
    <row r="21" spans="2:58" s="172" customFormat="1" ht="45.95" customHeight="1">
      <c r="B21" s="449"/>
      <c r="C21" s="214">
        <v>5</v>
      </c>
      <c r="D21" s="215" t="s">
        <v>213</v>
      </c>
      <c r="E21" s="478" t="s">
        <v>266</v>
      </c>
      <c r="F21" s="479"/>
      <c r="G21" s="475"/>
      <c r="H21" s="476"/>
      <c r="I21" s="476"/>
      <c r="J21" s="476"/>
      <c r="K21" s="477"/>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497"/>
      <c r="H25" s="498"/>
      <c r="I25" s="498"/>
      <c r="J25" s="498"/>
      <c r="K25" s="499"/>
    </row>
    <row r="26" spans="2:58" ht="45.95" customHeight="1">
      <c r="B26" s="449"/>
      <c r="C26" s="127">
        <v>2</v>
      </c>
      <c r="D26" s="192" t="s">
        <v>219</v>
      </c>
      <c r="E26" s="140" t="s">
        <v>266</v>
      </c>
      <c r="F26" s="135">
        <f>IF(E26="Yes",5,0)</f>
        <v>5</v>
      </c>
      <c r="G26" s="500"/>
      <c r="H26" s="501"/>
      <c r="I26" s="501"/>
      <c r="J26" s="501"/>
      <c r="K26" s="502"/>
    </row>
    <row r="27" spans="2:58" ht="45.95" customHeight="1">
      <c r="B27" s="449"/>
      <c r="C27" s="143">
        <v>3</v>
      </c>
      <c r="D27" s="193" t="s">
        <v>216</v>
      </c>
      <c r="E27" s="177" t="s">
        <v>266</v>
      </c>
      <c r="F27" s="178">
        <f>IF(E27="Yes",5,0)</f>
        <v>5</v>
      </c>
      <c r="G27" s="503"/>
      <c r="H27" s="504"/>
      <c r="I27" s="504"/>
      <c r="J27" s="504"/>
      <c r="K27" s="505"/>
    </row>
    <row r="28" spans="2:58" ht="51.75" customHeight="1">
      <c r="B28" s="449"/>
      <c r="C28" s="127">
        <v>4</v>
      </c>
      <c r="D28" s="192" t="s">
        <v>217</v>
      </c>
      <c r="E28" s="140" t="s">
        <v>193</v>
      </c>
      <c r="F28" s="135">
        <f t="shared" ref="F28:F32" si="3">IF(E28="Yes",1,0)</f>
        <v>0</v>
      </c>
      <c r="G28" s="500" t="s">
        <v>507</v>
      </c>
      <c r="H28" s="501"/>
      <c r="I28" s="501"/>
      <c r="J28" s="501"/>
      <c r="K28" s="502"/>
    </row>
    <row r="29" spans="2:58" ht="50.25" customHeight="1">
      <c r="B29" s="449"/>
      <c r="C29" s="151">
        <v>5</v>
      </c>
      <c r="D29" s="193" t="s">
        <v>218</v>
      </c>
      <c r="E29" s="177" t="s">
        <v>266</v>
      </c>
      <c r="F29" s="178">
        <f t="shared" si="3"/>
        <v>1</v>
      </c>
      <c r="G29" s="144"/>
      <c r="H29" s="145"/>
      <c r="I29" s="145"/>
      <c r="J29" s="145"/>
      <c r="K29" s="146"/>
    </row>
    <row r="30" spans="2:58" ht="47.25" customHeight="1">
      <c r="B30" s="449"/>
      <c r="C30" s="131">
        <v>6</v>
      </c>
      <c r="D30" s="192" t="s">
        <v>220</v>
      </c>
      <c r="E30" s="140" t="s">
        <v>193</v>
      </c>
      <c r="F30" s="135">
        <f>IF(E30="Yes",7,0)</f>
        <v>0</v>
      </c>
      <c r="G30" s="500" t="s">
        <v>508</v>
      </c>
      <c r="H30" s="501"/>
      <c r="I30" s="501"/>
      <c r="J30" s="501"/>
      <c r="K30" s="502"/>
    </row>
    <row r="31" spans="2:58" ht="48.75" customHeight="1" thickBot="1">
      <c r="B31" s="450"/>
      <c r="C31" s="158">
        <v>7</v>
      </c>
      <c r="D31" s="194" t="s">
        <v>221</v>
      </c>
      <c r="E31" s="179" t="s">
        <v>266</v>
      </c>
      <c r="F31" s="180">
        <f>IF(E31="Yes",7,0)</f>
        <v>7</v>
      </c>
      <c r="G31" s="545"/>
      <c r="H31" s="546"/>
      <c r="I31" s="546"/>
      <c r="J31" s="546"/>
      <c r="K31" s="562"/>
    </row>
    <row r="32" spans="2:58" ht="48.75" customHeight="1">
      <c r="B32" s="448" t="s">
        <v>257</v>
      </c>
      <c r="C32" s="227">
        <v>1</v>
      </c>
      <c r="D32" s="206" t="s">
        <v>222</v>
      </c>
      <c r="E32" s="181" t="s">
        <v>266</v>
      </c>
      <c r="F32" s="182">
        <f t="shared" si="3"/>
        <v>1</v>
      </c>
      <c r="G32" s="512"/>
      <c r="H32" s="513"/>
      <c r="I32" s="513"/>
      <c r="J32" s="513"/>
      <c r="K32" s="514"/>
    </row>
    <row r="33" spans="2:11" ht="45.95" customHeight="1">
      <c r="B33" s="449"/>
      <c r="C33" s="143">
        <v>2</v>
      </c>
      <c r="D33" s="203" t="s">
        <v>223</v>
      </c>
      <c r="E33" s="177" t="s">
        <v>266</v>
      </c>
      <c r="F33" s="178">
        <f>IF(E33="Yes",5,0)</f>
        <v>5</v>
      </c>
      <c r="G33" s="503"/>
      <c r="H33" s="504"/>
      <c r="I33" s="504"/>
      <c r="J33" s="504"/>
      <c r="K33" s="505"/>
    </row>
    <row r="34" spans="2:11" ht="45.95" customHeight="1">
      <c r="B34" s="449"/>
      <c r="C34" s="131">
        <v>3</v>
      </c>
      <c r="D34" s="202" t="s">
        <v>224</v>
      </c>
      <c r="E34" s="140" t="s">
        <v>193</v>
      </c>
      <c r="F34" s="135">
        <f>IF(E34="Yes",5,0)</f>
        <v>0</v>
      </c>
      <c r="G34" s="500" t="s">
        <v>506</v>
      </c>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195"/>
      <c r="H37" s="196"/>
      <c r="I37" s="196"/>
      <c r="J37" s="196"/>
      <c r="K37" s="197"/>
    </row>
    <row r="38" spans="2:11" ht="50.25"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266</v>
      </c>
      <c r="F39" s="178">
        <f>IF(OR(E39="Yes",E39="NA"),7,0)</f>
        <v>7</v>
      </c>
      <c r="G39" s="195"/>
      <c r="H39" s="196"/>
      <c r="I39" s="196"/>
      <c r="J39" s="196"/>
      <c r="K39" s="197"/>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518"/>
      <c r="H41" s="519"/>
      <c r="I41" s="519"/>
      <c r="J41" s="519"/>
      <c r="K41" s="520"/>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266</v>
      </c>
      <c r="F44" s="135">
        <f>IF(E44="Yes",1,0)</f>
        <v>1</v>
      </c>
      <c r="G44" s="500"/>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315</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193</v>
      </c>
      <c r="F53" s="190">
        <f>IF(E53="Yes",1,0)</f>
        <v>0</v>
      </c>
      <c r="G53" s="503" t="s">
        <v>375</v>
      </c>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31:K31"/>
    <mergeCell ref="G30:K30"/>
    <mergeCell ref="B41:B45"/>
    <mergeCell ref="G42:K42"/>
    <mergeCell ref="G43:K43"/>
    <mergeCell ref="B32:B35"/>
    <mergeCell ref="G32:K32"/>
    <mergeCell ref="G33:K33"/>
    <mergeCell ref="G34:K34"/>
    <mergeCell ref="G35:K35"/>
    <mergeCell ref="G44:K44"/>
    <mergeCell ref="G45:K45"/>
    <mergeCell ref="G41:K41"/>
    <mergeCell ref="B46:B48"/>
    <mergeCell ref="G46:K46"/>
    <mergeCell ref="G47:K47"/>
    <mergeCell ref="G48:K48"/>
    <mergeCell ref="B49:B53"/>
    <mergeCell ref="G49:K49"/>
    <mergeCell ref="G50:K50"/>
    <mergeCell ref="G51:K51"/>
    <mergeCell ref="G52:K52"/>
    <mergeCell ref="G53:K53"/>
  </mergeCells>
  <conditionalFormatting sqref="E17:E23">
    <cfRule type="notContainsText" dxfId="47" priority="9" operator="notContains" text="YES">
      <formula>ISERROR(SEARCH("YES",E17))</formula>
    </cfRule>
  </conditionalFormatting>
  <conditionalFormatting sqref="E43:E53">
    <cfRule type="containsText" dxfId="46" priority="7" operator="containsText" text="No">
      <formula>NOT(ISERROR(SEARCH("No",E43)))</formula>
    </cfRule>
  </conditionalFormatting>
  <conditionalFormatting sqref="E25:F42">
    <cfRule type="containsText" dxfId="45" priority="8" operator="containsText" text="No">
      <formula>NOT(ISERROR(SEARCH("No",E25)))</formula>
    </cfRule>
  </conditionalFormatting>
  <conditionalFormatting sqref="H4:J4">
    <cfRule type="cellIs" dxfId="44" priority="1" operator="equal">
      <formula>"NO PASA"</formula>
    </cfRule>
    <cfRule type="cellIs" dxfId="43" priority="2" operator="equal">
      <formula>"NO PASA"</formula>
    </cfRule>
    <cfRule type="cellIs" dxfId="42" priority="3" operator="equal">
      <formula>"PASA"</formula>
    </cfRule>
    <cfRule type="cellIs" dxfId="41" priority="4" operator="equal">
      <formula>"PASA"</formula>
    </cfRule>
    <cfRule type="cellIs" dxfId="40" priority="5" operator="equal">
      <formula>"NO PASA"</formula>
    </cfRule>
    <cfRule type="containsText" dxfId="39" priority="6" operator="containsText" text="PASA">
      <formula>NOT(ISERROR(SEARCH("PASA",H4)))</formula>
    </cfRule>
    <cfRule type="cellIs" dxfId="38" priority="13" operator="equal">
      <formula>$BC$7</formula>
    </cfRule>
    <cfRule type="cellIs" dxfId="37" priority="14" operator="equal">
      <formula>$BC$6</formula>
    </cfRule>
    <cfRule type="cellIs" dxfId="36" priority="15" operator="equal">
      <formula>$BC$4</formula>
    </cfRule>
  </conditionalFormatting>
  <conditionalFormatting sqref="I14">
    <cfRule type="cellIs" dxfId="35" priority="10" operator="greaterThanOrEqual">
      <formula>0.9</formula>
    </cfRule>
    <cfRule type="cellIs" dxfId="34" priority="11" operator="between">
      <formula>0.71</formula>
      <formula>0.9</formula>
    </cfRule>
    <cfRule type="cellIs" dxfId="33" priority="12" operator="lessThan">
      <formula>0.71</formula>
    </cfRule>
  </conditionalFormatting>
  <dataValidations count="3">
    <dataValidation type="list" allowBlank="1" showInputMessage="1" showErrorMessage="1" sqref="E17:E23" xr:uid="{00000000-0002-0000-2200-000000000000}">
      <formula1>"Yes,No,Cured in Moment"</formula1>
    </dataValidation>
    <dataValidation type="list" allowBlank="1" showInputMessage="1" showErrorMessage="1" sqref="E52:E53 E25:E37 E40:E49" xr:uid="{00000000-0002-0000-2200-000001000000}">
      <formula1>"Yes,No"</formula1>
    </dataValidation>
    <dataValidation type="list" allowBlank="1" showInputMessage="1" showErrorMessage="1" sqref="E38:E39 E50:E51" xr:uid="{00000000-0002-0000-2200-000002000000}">
      <formula1>"Yes,No,NA"</formula1>
    </dataValidation>
  </dataValidations>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92D050"/>
  </sheetPr>
  <dimension ref="B1:H103"/>
  <sheetViews>
    <sheetView zoomScale="50" zoomScaleNormal="50" workbookViewId="0">
      <selection activeCell="D9" sqref="D9"/>
    </sheetView>
  </sheetViews>
  <sheetFormatPr baseColWidth="10" defaultColWidth="8.85546875" defaultRowHeight="18"/>
  <cols>
    <col min="1" max="1" width="4.42578125" style="124" customWidth="1"/>
    <col min="2" max="2" width="53.28515625" style="122" bestFit="1"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45" customHeight="1">
      <c r="B7" s="305" t="s">
        <v>509</v>
      </c>
      <c r="C7" s="130" t="s">
        <v>386</v>
      </c>
      <c r="D7" s="138">
        <v>46295</v>
      </c>
      <c r="E7" s="130"/>
      <c r="F7" s="134"/>
    </row>
    <row r="8" spans="2:8" ht="74.25" customHeight="1">
      <c r="B8" s="138" t="s">
        <v>510</v>
      </c>
      <c r="C8" s="130" t="s">
        <v>386</v>
      </c>
      <c r="D8" s="138">
        <v>46295</v>
      </c>
      <c r="E8" s="127"/>
      <c r="F8" s="135"/>
    </row>
    <row r="9" spans="2:8" ht="39.950000000000003" customHeight="1">
      <c r="B9" s="304" t="s">
        <v>511</v>
      </c>
      <c r="C9" s="130" t="s">
        <v>386</v>
      </c>
      <c r="D9" s="138">
        <v>46295</v>
      </c>
      <c r="E9" s="127"/>
      <c r="F9" s="136"/>
    </row>
    <row r="10" spans="2:8" ht="66.75" customHeight="1">
      <c r="B10" s="304"/>
      <c r="C10" s="130" t="s">
        <v>386</v>
      </c>
      <c r="D10" s="138"/>
      <c r="E10" s="131"/>
      <c r="F10" s="136"/>
    </row>
    <row r="11" spans="2:8" ht="39.950000000000003" customHeight="1">
      <c r="B11" s="304"/>
      <c r="C11" s="130"/>
      <c r="D11" s="131"/>
      <c r="E11" s="131"/>
      <c r="F11" s="136"/>
    </row>
    <row r="12" spans="2:8" ht="44.1" customHeight="1">
      <c r="B12" s="304"/>
      <c r="C12" s="130"/>
      <c r="D12" s="131"/>
      <c r="E12" s="131"/>
      <c r="F12" s="136"/>
    </row>
    <row r="13" spans="2:8" s="126" customFormat="1" ht="30.95" customHeight="1">
      <c r="B13" s="304"/>
      <c r="C13" s="130"/>
      <c r="D13" s="131"/>
      <c r="E13" s="131"/>
      <c r="F13" s="136"/>
    </row>
    <row r="14" spans="2:8" ht="39.950000000000003" customHeight="1">
      <c r="B14" s="306"/>
      <c r="C14" s="130"/>
      <c r="D14" s="284"/>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316</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32" priority="1" stopIfTrue="1">
      <formula>IF($E31="NA",TRUE,FALSE)</formula>
    </cfRule>
  </conditionalFormatting>
  <dataValidations count="3">
    <dataValidation type="list" allowBlank="1" showInputMessage="1" showErrorMessage="1" sqref="E5:E6 E20:E21 E34:E35" xr:uid="{00000000-0002-0000-2300-000000000000}">
      <formula1>"Yes,No,Cured in Moment"</formula1>
    </dataValidation>
    <dataValidation type="list" allowBlank="1" showInputMessage="1" showErrorMessage="1" sqref="E17" xr:uid="{00000000-0002-0000-2300-000001000000}">
      <formula1>"Yes,No"</formula1>
    </dataValidation>
    <dataValidation type="list" allowBlank="1" showInputMessage="1" showErrorMessage="1" sqref="E31" xr:uid="{00000000-0002-0000-2300-000002000000}">
      <formula1>"Yes,No,NA"</formula1>
    </dataValidation>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C00000"/>
  </sheetPr>
  <dimension ref="B1:BF56"/>
  <sheetViews>
    <sheetView topLeftCell="A23" zoomScale="60" zoomScaleNormal="60" workbookViewId="0">
      <selection activeCell="G29" sqref="G29"/>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60.75" customHeight="1" thickBot="1">
      <c r="B3" s="210" t="s">
        <v>208</v>
      </c>
      <c r="C3" s="547" t="s">
        <v>334</v>
      </c>
      <c r="D3" s="548"/>
      <c r="E3" s="161"/>
      <c r="G3" s="220"/>
      <c r="H3" s="220"/>
      <c r="I3" s="220"/>
      <c r="J3" s="220"/>
    </row>
    <row r="4" spans="2:55" ht="114" customHeight="1" thickBot="1">
      <c r="B4" s="211" t="s">
        <v>275</v>
      </c>
      <c r="C4" s="441" t="s">
        <v>357</v>
      </c>
      <c r="D4" s="442"/>
      <c r="E4" s="150"/>
      <c r="G4" s="186" t="s">
        <v>11</v>
      </c>
      <c r="H4" s="443" t="str">
        <f>IF(COUNTIF(BB6,"0")&gt;0,"PASA","NO PASA")</f>
        <v>PASA</v>
      </c>
      <c r="I4" s="444"/>
      <c r="J4" s="445"/>
      <c r="BA4" s="221" t="s">
        <v>174</v>
      </c>
      <c r="BB4" s="123">
        <f>COUNTIF(E17:F23,BA4)</f>
        <v>0</v>
      </c>
      <c r="BC4" s="225" t="s">
        <v>262</v>
      </c>
    </row>
    <row r="5" spans="2:55" ht="55.5" customHeight="1" thickBot="1">
      <c r="B5" s="236" t="s">
        <v>203</v>
      </c>
      <c r="C5" s="446">
        <v>46281</v>
      </c>
      <c r="D5" s="447"/>
      <c r="G5" s="228" t="s">
        <v>198</v>
      </c>
      <c r="H5" s="185" t="s">
        <v>3</v>
      </c>
      <c r="I5" s="229" t="s">
        <v>4</v>
      </c>
      <c r="J5" s="230" t="s">
        <v>5</v>
      </c>
      <c r="BC5" s="225"/>
    </row>
    <row r="6" spans="2:55" ht="48" customHeight="1" thickBot="1">
      <c r="C6" s="122"/>
      <c r="E6" s="128"/>
      <c r="G6" s="187" t="s">
        <v>254</v>
      </c>
      <c r="H6" s="160">
        <v>31</v>
      </c>
      <c r="I6" s="160">
        <f>SUM(F25:F31)</f>
        <v>30</v>
      </c>
      <c r="J6" s="167">
        <f t="shared" ref="J6:J9" si="0">I6/H6</f>
        <v>0.967741935483871</v>
      </c>
      <c r="BA6" s="221" t="s">
        <v>193</v>
      </c>
      <c r="BB6" s="123">
        <f>COUNTIF(E17:F23,BA6)</f>
        <v>0</v>
      </c>
      <c r="BC6" s="225" t="s">
        <v>263</v>
      </c>
    </row>
    <row r="7" spans="2:55" ht="48" customHeight="1" thickBot="1">
      <c r="B7" s="448" t="s">
        <v>243</v>
      </c>
      <c r="C7" s="451" t="s">
        <v>252</v>
      </c>
      <c r="D7" s="452"/>
      <c r="E7" s="164"/>
      <c r="G7" s="168" t="s">
        <v>199</v>
      </c>
      <c r="H7" s="169">
        <v>18</v>
      </c>
      <c r="I7" s="169">
        <f>SUM(F32:F35)</f>
        <v>13</v>
      </c>
      <c r="J7" s="170">
        <f t="shared" si="0"/>
        <v>0.72222222222222221</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13</v>
      </c>
      <c r="J9" s="170">
        <f t="shared" si="0"/>
        <v>0.68421052631578949</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5</v>
      </c>
      <c r="J11" s="170">
        <f t="shared" ref="J11:J12" si="1">I11/H11</f>
        <v>1</v>
      </c>
    </row>
    <row r="12" spans="2:55" ht="72.75" customHeight="1" thickBot="1">
      <c r="B12" s="219" t="s">
        <v>244</v>
      </c>
      <c r="C12" s="459" t="s">
        <v>246</v>
      </c>
      <c r="D12" s="460"/>
      <c r="E12" s="166"/>
      <c r="G12" s="198" t="s">
        <v>271</v>
      </c>
      <c r="H12" s="199">
        <f>SUM(H6:H11)</f>
        <v>117</v>
      </c>
      <c r="I12" s="199">
        <f>SUM(I6:I11)</f>
        <v>105</v>
      </c>
      <c r="J12" s="200">
        <f t="shared" si="1"/>
        <v>0.89743589743589747</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0.89743589743589747</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K20" s="173"/>
      <c r="V20" s="122"/>
      <c r="AY20" s="172" t="str">
        <f t="shared" si="2"/>
        <v>Yes</v>
      </c>
      <c r="BA20" s="222"/>
      <c r="BB20" s="122"/>
      <c r="BC20" s="122"/>
    </row>
    <row r="21" spans="2:58" s="172" customFormat="1" ht="45.95" customHeight="1">
      <c r="B21" s="449"/>
      <c r="C21" s="214">
        <v>5</v>
      </c>
      <c r="D21" s="215" t="s">
        <v>213</v>
      </c>
      <c r="E21" s="478" t="s">
        <v>266</v>
      </c>
      <c r="F21" s="479"/>
      <c r="G21" s="475"/>
      <c r="H21" s="476"/>
      <c r="I21" s="476"/>
      <c r="J21" s="476"/>
      <c r="K21" s="477"/>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524"/>
      <c r="H25" s="525"/>
      <c r="I25" s="525"/>
      <c r="J25" s="525"/>
      <c r="K25" s="526"/>
    </row>
    <row r="26" spans="2:58" ht="45.95" customHeight="1">
      <c r="B26" s="449"/>
      <c r="C26" s="127">
        <v>2</v>
      </c>
      <c r="D26" s="192" t="s">
        <v>219</v>
      </c>
      <c r="E26" s="140" t="s">
        <v>266</v>
      </c>
      <c r="F26" s="135">
        <f>IF(E26="Yes",5,0)</f>
        <v>5</v>
      </c>
      <c r="G26" s="500"/>
      <c r="H26" s="501"/>
      <c r="I26" s="501"/>
      <c r="J26" s="501"/>
      <c r="K26" s="502"/>
    </row>
    <row r="27" spans="2:58" ht="45.95" customHeight="1">
      <c r="B27" s="449"/>
      <c r="C27" s="143">
        <v>3</v>
      </c>
      <c r="D27" s="193" t="s">
        <v>216</v>
      </c>
      <c r="E27" s="177" t="s">
        <v>266</v>
      </c>
      <c r="F27" s="178">
        <f>IF(E27="Yes",5,0)</f>
        <v>5</v>
      </c>
      <c r="G27" s="503"/>
      <c r="H27" s="504"/>
      <c r="I27" s="504"/>
      <c r="J27" s="504"/>
      <c r="K27" s="505"/>
    </row>
    <row r="28" spans="2:58" ht="51.75" customHeight="1">
      <c r="B28" s="449"/>
      <c r="C28" s="127">
        <v>4</v>
      </c>
      <c r="D28" s="192" t="s">
        <v>217</v>
      </c>
      <c r="E28" s="140" t="s">
        <v>193</v>
      </c>
      <c r="F28" s="135">
        <f t="shared" ref="F28:F32" si="3">IF(E28="Yes",1,0)</f>
        <v>0</v>
      </c>
      <c r="G28" s="500" t="s">
        <v>443</v>
      </c>
      <c r="H28" s="501"/>
      <c r="I28" s="501"/>
      <c r="J28" s="501"/>
      <c r="K28" s="502"/>
    </row>
    <row r="29" spans="2:58" ht="50.25" customHeight="1">
      <c r="B29" s="449"/>
      <c r="C29" s="151">
        <v>5</v>
      </c>
      <c r="D29" s="193" t="s">
        <v>218</v>
      </c>
      <c r="E29" s="177" t="s">
        <v>266</v>
      </c>
      <c r="F29" s="178">
        <f t="shared" si="3"/>
        <v>1</v>
      </c>
      <c r="G29" s="144"/>
      <c r="H29" s="145"/>
      <c r="I29" s="145"/>
      <c r="J29" s="145"/>
      <c r="K29" s="146"/>
    </row>
    <row r="30" spans="2:58" ht="47.25" customHeight="1">
      <c r="B30" s="449"/>
      <c r="C30" s="131">
        <v>6</v>
      </c>
      <c r="D30" s="192" t="s">
        <v>220</v>
      </c>
      <c r="E30" s="140" t="s">
        <v>266</v>
      </c>
      <c r="F30" s="135">
        <f>IF(E30="Yes",7,0)</f>
        <v>7</v>
      </c>
      <c r="G30" s="563"/>
      <c r="H30" s="564"/>
      <c r="I30" s="564"/>
      <c r="J30" s="564"/>
      <c r="K30" s="565"/>
    </row>
    <row r="31" spans="2:58" ht="48.75" customHeight="1" thickBot="1">
      <c r="B31" s="450"/>
      <c r="C31" s="158">
        <v>7</v>
      </c>
      <c r="D31" s="194" t="s">
        <v>221</v>
      </c>
      <c r="E31" s="179" t="s">
        <v>266</v>
      </c>
      <c r="F31" s="180">
        <f>IF(E31="Yes",7,0)</f>
        <v>7</v>
      </c>
      <c r="G31" s="545"/>
      <c r="H31" s="546"/>
      <c r="I31" s="546"/>
      <c r="J31" s="546"/>
      <c r="K31" s="157"/>
    </row>
    <row r="32" spans="2:58" ht="48.75" customHeight="1">
      <c r="B32" s="448" t="s">
        <v>257</v>
      </c>
      <c r="C32" s="227">
        <v>1</v>
      </c>
      <c r="D32" s="206" t="s">
        <v>222</v>
      </c>
      <c r="E32" s="181" t="s">
        <v>266</v>
      </c>
      <c r="F32" s="182">
        <f t="shared" si="3"/>
        <v>1</v>
      </c>
      <c r="G32" s="512"/>
      <c r="H32" s="513"/>
      <c r="I32" s="513"/>
      <c r="J32" s="513"/>
      <c r="K32" s="514"/>
    </row>
    <row r="33" spans="2:11" ht="45.95" customHeight="1">
      <c r="B33" s="449"/>
      <c r="C33" s="143">
        <v>2</v>
      </c>
      <c r="D33" s="203" t="s">
        <v>223</v>
      </c>
      <c r="E33" s="177" t="s">
        <v>266</v>
      </c>
      <c r="F33" s="178">
        <f>IF(E33="Yes",5,0)</f>
        <v>5</v>
      </c>
      <c r="G33" s="503"/>
      <c r="H33" s="504"/>
      <c r="I33" s="504"/>
      <c r="J33" s="504"/>
      <c r="K33" s="505"/>
    </row>
    <row r="34" spans="2:11" ht="45.95" customHeight="1">
      <c r="B34" s="449"/>
      <c r="C34" s="131">
        <v>3</v>
      </c>
      <c r="D34" s="202" t="s">
        <v>224</v>
      </c>
      <c r="E34" s="140" t="s">
        <v>193</v>
      </c>
      <c r="F34" s="135">
        <f>IF(E34="Yes",5,0)</f>
        <v>0</v>
      </c>
      <c r="G34" s="500" t="s">
        <v>371</v>
      </c>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195"/>
      <c r="H37" s="196"/>
      <c r="I37" s="196"/>
      <c r="J37" s="196"/>
      <c r="K37" s="197"/>
    </row>
    <row r="38" spans="2:11" ht="50.25"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266</v>
      </c>
      <c r="F39" s="178">
        <f>IF(OR(E39="Yes",E39="NA"),7,0)</f>
        <v>7</v>
      </c>
      <c r="G39" s="195"/>
      <c r="H39" s="196"/>
      <c r="I39" s="196"/>
      <c r="J39" s="196"/>
      <c r="K39" s="197"/>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518"/>
      <c r="H41" s="519"/>
      <c r="I41" s="519"/>
      <c r="J41" s="519"/>
      <c r="K41" s="520"/>
    </row>
    <row r="42" spans="2:11" ht="47.25" customHeight="1">
      <c r="B42" s="449"/>
      <c r="C42" s="127">
        <v>2</v>
      </c>
      <c r="D42" s="202" t="s">
        <v>237</v>
      </c>
      <c r="E42" s="140" t="s">
        <v>193</v>
      </c>
      <c r="F42" s="135">
        <f>IF(E42="Yes",5,0)</f>
        <v>0</v>
      </c>
      <c r="G42" s="500" t="s">
        <v>377</v>
      </c>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193</v>
      </c>
      <c r="F44" s="135">
        <f>IF(E44="Yes",1,0)</f>
        <v>0</v>
      </c>
      <c r="G44" s="500" t="s">
        <v>439</v>
      </c>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315</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266</v>
      </c>
      <c r="F53" s="190">
        <f>IF(E53="Yes",1,0)</f>
        <v>1</v>
      </c>
      <c r="G53" s="503"/>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5">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G30:K30"/>
    <mergeCell ref="G31:J31"/>
    <mergeCell ref="B41:B45"/>
    <mergeCell ref="G42:K42"/>
    <mergeCell ref="G43:K43"/>
    <mergeCell ref="B32:B35"/>
    <mergeCell ref="G32:K32"/>
    <mergeCell ref="G33:K33"/>
    <mergeCell ref="G34:K34"/>
    <mergeCell ref="G35:K35"/>
    <mergeCell ref="G44:K44"/>
    <mergeCell ref="G45:K45"/>
    <mergeCell ref="G41:K41"/>
    <mergeCell ref="B46:B48"/>
    <mergeCell ref="G46:K46"/>
    <mergeCell ref="G47:K47"/>
    <mergeCell ref="G48:K48"/>
    <mergeCell ref="B49:B53"/>
    <mergeCell ref="G49:K49"/>
    <mergeCell ref="G50:K50"/>
    <mergeCell ref="G51:K51"/>
    <mergeCell ref="G52:K52"/>
    <mergeCell ref="G53:K53"/>
  </mergeCells>
  <conditionalFormatting sqref="E17:E23">
    <cfRule type="notContainsText" dxfId="31" priority="9" operator="notContains" text="YES">
      <formula>ISERROR(SEARCH("YES",E17))</formula>
    </cfRule>
  </conditionalFormatting>
  <conditionalFormatting sqref="E43:E53">
    <cfRule type="containsText" dxfId="30" priority="7" operator="containsText" text="No">
      <formula>NOT(ISERROR(SEARCH("No",E43)))</formula>
    </cfRule>
  </conditionalFormatting>
  <conditionalFormatting sqref="E25:F42">
    <cfRule type="containsText" dxfId="29" priority="8" operator="containsText" text="No">
      <formula>NOT(ISERROR(SEARCH("No",E25)))</formula>
    </cfRule>
  </conditionalFormatting>
  <conditionalFormatting sqref="H4:J4">
    <cfRule type="cellIs" dxfId="28" priority="1" operator="equal">
      <formula>"NO PASA"</formula>
    </cfRule>
    <cfRule type="cellIs" dxfId="27" priority="2" operator="equal">
      <formula>"NO PASA"</formula>
    </cfRule>
    <cfRule type="cellIs" dxfId="26" priority="3" operator="equal">
      <formula>"PASA"</formula>
    </cfRule>
    <cfRule type="cellIs" dxfId="25" priority="4" operator="equal">
      <formula>"PASA"</formula>
    </cfRule>
    <cfRule type="cellIs" dxfId="24" priority="5" operator="equal">
      <formula>"NO PASA"</formula>
    </cfRule>
    <cfRule type="containsText" dxfId="23" priority="6" operator="containsText" text="PASA">
      <formula>NOT(ISERROR(SEARCH("PASA",H4)))</formula>
    </cfRule>
    <cfRule type="cellIs" dxfId="22" priority="13" operator="equal">
      <formula>$BC$7</formula>
    </cfRule>
    <cfRule type="cellIs" dxfId="21" priority="14" operator="equal">
      <formula>$BC$6</formula>
    </cfRule>
    <cfRule type="cellIs" dxfId="20" priority="15" operator="equal">
      <formula>$BC$4</formula>
    </cfRule>
  </conditionalFormatting>
  <conditionalFormatting sqref="I14">
    <cfRule type="cellIs" dxfId="19" priority="10" operator="greaterThanOrEqual">
      <formula>0.9</formula>
    </cfRule>
    <cfRule type="cellIs" dxfId="18" priority="11" operator="between">
      <formula>0.71</formula>
      <formula>0.9</formula>
    </cfRule>
    <cfRule type="cellIs" dxfId="17" priority="12" operator="lessThan">
      <formula>0.71</formula>
    </cfRule>
  </conditionalFormatting>
  <dataValidations count="3">
    <dataValidation type="list" allowBlank="1" showInputMessage="1" showErrorMessage="1" sqref="E38:E39 E50:E51" xr:uid="{00000000-0002-0000-2400-000000000000}">
      <formula1>"Yes,No,NA"</formula1>
    </dataValidation>
    <dataValidation type="list" allowBlank="1" showInputMessage="1" showErrorMessage="1" sqref="E52:E53 E25:E37 E40:E49" xr:uid="{00000000-0002-0000-2400-000001000000}">
      <formula1>"Yes,No"</formula1>
    </dataValidation>
    <dataValidation type="list" allowBlank="1" showInputMessage="1" showErrorMessage="1" sqref="E17:E23" xr:uid="{00000000-0002-0000-2400-000002000000}">
      <formula1>"Yes,No,Cured in Moment"</formula1>
    </dataValidation>
  </dataValidation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C00000"/>
  </sheetPr>
  <dimension ref="B1:H103"/>
  <sheetViews>
    <sheetView zoomScale="50" zoomScaleNormal="50" workbookViewId="0">
      <selection activeCell="D9" sqref="D9"/>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59.25" customHeight="1">
      <c r="B7" s="295" t="s">
        <v>440</v>
      </c>
      <c r="C7" s="130" t="s">
        <v>386</v>
      </c>
      <c r="D7" s="284">
        <v>46295</v>
      </c>
      <c r="E7" s="130"/>
      <c r="F7" s="134"/>
    </row>
    <row r="8" spans="2:8" ht="66.75" customHeight="1">
      <c r="B8" s="297" t="s">
        <v>441</v>
      </c>
      <c r="C8" s="130" t="s">
        <v>386</v>
      </c>
      <c r="D8" s="284">
        <v>46295</v>
      </c>
      <c r="E8" s="127"/>
      <c r="F8" s="135"/>
    </row>
    <row r="9" spans="2:8" ht="77.25" customHeight="1">
      <c r="B9" s="297" t="s">
        <v>442</v>
      </c>
      <c r="C9" s="130" t="s">
        <v>386</v>
      </c>
      <c r="D9" s="284">
        <v>46295</v>
      </c>
      <c r="E9" s="127"/>
      <c r="F9" s="136"/>
    </row>
    <row r="10" spans="2:8" ht="71.25" customHeight="1">
      <c r="B10" s="295"/>
      <c r="C10" s="130"/>
      <c r="D10" s="284"/>
      <c r="E10" s="131"/>
      <c r="F10" s="136"/>
    </row>
    <row r="11" spans="2:8" ht="39.950000000000003" customHeight="1">
      <c r="B11" s="302"/>
      <c r="C11" s="130"/>
      <c r="D11" s="284"/>
      <c r="E11" s="131"/>
      <c r="F11" s="136"/>
    </row>
    <row r="12" spans="2:8" ht="44.1" customHeight="1">
      <c r="B12" s="302"/>
      <c r="C12" s="130"/>
      <c r="D12" s="131"/>
      <c r="E12" s="131"/>
      <c r="F12" s="136"/>
    </row>
    <row r="13" spans="2:8" s="126" customFormat="1" ht="30.95" customHeight="1">
      <c r="B13" s="302"/>
      <c r="C13" s="131"/>
      <c r="D13" s="131"/>
      <c r="E13" s="131"/>
      <c r="F13" s="136"/>
    </row>
    <row r="14" spans="2:8" ht="39.950000000000003" customHeight="1">
      <c r="B14" s="302"/>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316</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16" priority="1" stopIfTrue="1">
      <formula>IF($E31="NA",TRUE,FALSE)</formula>
    </cfRule>
  </conditionalFormatting>
  <dataValidations count="3">
    <dataValidation type="list" allowBlank="1" showInputMessage="1" showErrorMessage="1" sqref="E31" xr:uid="{00000000-0002-0000-2500-000000000000}">
      <formula1>"Yes,No,NA"</formula1>
    </dataValidation>
    <dataValidation type="list" allowBlank="1" showInputMessage="1" showErrorMessage="1" sqref="E17" xr:uid="{00000000-0002-0000-2500-000001000000}">
      <formula1>"Yes,No"</formula1>
    </dataValidation>
    <dataValidation type="list" allowBlank="1" showInputMessage="1" showErrorMessage="1" sqref="E5:E6 E20:E21 E34:E35" xr:uid="{00000000-0002-0000-2500-000002000000}">
      <formula1>"Yes,No,Cured in Moment"</formula1>
    </dataValidation>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theme="3" tint="0.79998168889431442"/>
  </sheetPr>
  <dimension ref="B1:BF56"/>
  <sheetViews>
    <sheetView topLeftCell="A7" zoomScale="60" zoomScaleNormal="60" workbookViewId="0">
      <selection activeCell="E12" sqref="E12"/>
    </sheetView>
  </sheetViews>
  <sheetFormatPr baseColWidth="10" defaultColWidth="8.85546875" defaultRowHeight="18"/>
  <cols>
    <col min="1" max="1" width="4.42578125" style="124" customWidth="1"/>
    <col min="2" max="2" width="28.140625" style="122" customWidth="1"/>
    <col min="3" max="3" width="5.42578125" style="129" bestFit="1" customWidth="1"/>
    <col min="4" max="4" width="139.5703125" style="128" customWidth="1"/>
    <col min="5" max="5" width="18" style="123" customWidth="1"/>
    <col min="6" max="6" width="12.5703125" style="123" customWidth="1"/>
    <col min="7" max="7" width="22.5703125" style="124" customWidth="1"/>
    <col min="8" max="8" width="19.85546875" style="124" customWidth="1"/>
    <col min="9" max="9" width="19.28515625" style="124" customWidth="1"/>
    <col min="10" max="10" width="20.140625" style="124" customWidth="1"/>
    <col min="11" max="11" width="9.5703125" style="124" bestFit="1" customWidth="1"/>
    <col min="12" max="18" width="8.85546875" style="124"/>
    <col min="22" max="22" width="8.85546875" style="123"/>
    <col min="23" max="52" width="8.85546875" style="124"/>
    <col min="53" max="53" width="8.85546875" style="221"/>
    <col min="54" max="54" width="8.85546875" style="123"/>
    <col min="55" max="55" width="12.140625" style="123" bestFit="1" customWidth="1"/>
    <col min="56" max="16384" width="8.85546875" style="124"/>
  </cols>
  <sheetData>
    <row r="1" spans="2:55" ht="18" customHeight="1">
      <c r="B1" s="437" t="s">
        <v>241</v>
      </c>
      <c r="C1" s="437"/>
      <c r="D1" s="437"/>
    </row>
    <row r="2" spans="2:55" ht="39.950000000000003" customHeight="1" thickBot="1">
      <c r="B2" s="438"/>
      <c r="C2" s="438"/>
      <c r="D2" s="438"/>
    </row>
    <row r="3" spans="2:55" ht="60.75" customHeight="1" thickBot="1">
      <c r="B3" s="210" t="s">
        <v>208</v>
      </c>
      <c r="C3" s="547"/>
      <c r="D3" s="548"/>
      <c r="E3" s="161"/>
      <c r="G3" s="220"/>
      <c r="H3" s="220"/>
      <c r="I3" s="220"/>
      <c r="J3" s="220"/>
    </row>
    <row r="4" spans="2:55" ht="114" customHeight="1" thickBot="1">
      <c r="B4" s="211" t="s">
        <v>275</v>
      </c>
      <c r="C4" s="549"/>
      <c r="D4" s="550"/>
      <c r="E4" s="150"/>
      <c r="G4" s="186" t="s">
        <v>11</v>
      </c>
      <c r="H4" s="443" t="str">
        <f>IF(COUNTIF(BB6,"0")&gt;0,"PASA","NO PASA")</f>
        <v>PASA</v>
      </c>
      <c r="I4" s="444"/>
      <c r="J4" s="445"/>
      <c r="BA4" s="221" t="s">
        <v>174</v>
      </c>
      <c r="BB4" s="123">
        <f>COUNTIF(E17:F23,BA4)</f>
        <v>0</v>
      </c>
      <c r="BC4" s="225" t="s">
        <v>262</v>
      </c>
    </row>
    <row r="5" spans="2:55" ht="55.5" customHeight="1" thickBot="1">
      <c r="B5" s="236" t="s">
        <v>203</v>
      </c>
      <c r="C5" s="551"/>
      <c r="D5" s="552"/>
      <c r="G5" s="228" t="s">
        <v>198</v>
      </c>
      <c r="H5" s="185" t="s">
        <v>3</v>
      </c>
      <c r="I5" s="229" t="s">
        <v>4</v>
      </c>
      <c r="J5" s="230" t="s">
        <v>5</v>
      </c>
      <c r="BC5" s="225"/>
    </row>
    <row r="6" spans="2:55" ht="48" customHeight="1" thickBot="1">
      <c r="C6" s="122"/>
      <c r="E6" s="128"/>
      <c r="G6" s="187" t="s">
        <v>254</v>
      </c>
      <c r="H6" s="160">
        <v>31</v>
      </c>
      <c r="I6" s="160">
        <f>SUM(F25:F31)</f>
        <v>31</v>
      </c>
      <c r="J6" s="167">
        <f t="shared" ref="J6:J9" si="0">I6/H6</f>
        <v>1</v>
      </c>
      <c r="BA6" s="221" t="s">
        <v>193</v>
      </c>
      <c r="BB6" s="123">
        <f>COUNTIF(E17:F23,BA6)</f>
        <v>0</v>
      </c>
      <c r="BC6" s="225" t="s">
        <v>263</v>
      </c>
    </row>
    <row r="7" spans="2:55" ht="48" customHeight="1" thickBot="1">
      <c r="B7" s="448" t="s">
        <v>243</v>
      </c>
      <c r="C7" s="451" t="s">
        <v>252</v>
      </c>
      <c r="D7" s="452"/>
      <c r="E7" s="164"/>
      <c r="G7" s="168" t="s">
        <v>199</v>
      </c>
      <c r="H7" s="169">
        <v>18</v>
      </c>
      <c r="I7" s="169">
        <f>SUM(F32:F35)</f>
        <v>18</v>
      </c>
      <c r="J7" s="170">
        <f t="shared" si="0"/>
        <v>1</v>
      </c>
      <c r="BA7" s="224" t="s">
        <v>261</v>
      </c>
      <c r="BB7" s="123">
        <f>COUNTIF(E17:F23,BA7)</f>
        <v>0</v>
      </c>
      <c r="BC7" s="225" t="s">
        <v>264</v>
      </c>
    </row>
    <row r="8" spans="2:55" ht="48" customHeight="1" thickBot="1">
      <c r="B8" s="449"/>
      <c r="C8" s="453" t="s">
        <v>253</v>
      </c>
      <c r="D8" s="454"/>
      <c r="E8" s="165"/>
      <c r="G8" s="187" t="s">
        <v>200</v>
      </c>
      <c r="H8" s="160">
        <v>31</v>
      </c>
      <c r="I8" s="160">
        <f>SUM(F36:F40)</f>
        <v>31</v>
      </c>
      <c r="J8" s="167">
        <f t="shared" si="0"/>
        <v>1</v>
      </c>
      <c r="R8" s="237"/>
    </row>
    <row r="9" spans="2:55" ht="63" customHeight="1" thickBot="1">
      <c r="B9" s="450"/>
      <c r="C9" s="455"/>
      <c r="D9" s="456"/>
      <c r="E9" s="165"/>
      <c r="G9" s="168" t="s">
        <v>255</v>
      </c>
      <c r="H9" s="169">
        <v>19</v>
      </c>
      <c r="I9" s="169">
        <f>SUM(F41:F45)</f>
        <v>19</v>
      </c>
      <c r="J9" s="170">
        <f t="shared" si="0"/>
        <v>1</v>
      </c>
    </row>
    <row r="10" spans="2:55" ht="48" customHeight="1" thickBot="1">
      <c r="B10" s="163"/>
      <c r="C10" s="163"/>
      <c r="D10" s="162"/>
      <c r="E10" s="166"/>
      <c r="G10" s="187" t="s">
        <v>242</v>
      </c>
      <c r="H10" s="160">
        <v>13</v>
      </c>
      <c r="I10" s="160">
        <f>SUM(F46:F48)</f>
        <v>13</v>
      </c>
      <c r="J10" s="171">
        <f>I10/H10</f>
        <v>1</v>
      </c>
    </row>
    <row r="11" spans="2:55" ht="48" customHeight="1" thickBot="1">
      <c r="B11" s="210" t="s">
        <v>248</v>
      </c>
      <c r="C11" s="457" t="s">
        <v>251</v>
      </c>
      <c r="D11" s="458"/>
      <c r="E11" s="128"/>
      <c r="G11" s="168" t="s">
        <v>256</v>
      </c>
      <c r="H11" s="169">
        <v>5</v>
      </c>
      <c r="I11" s="169">
        <f>SUM(F49:F53)</f>
        <v>5</v>
      </c>
      <c r="J11" s="170">
        <f t="shared" ref="J11:J12" si="1">I11/H11</f>
        <v>1</v>
      </c>
    </row>
    <row r="12" spans="2:55" ht="72.75" customHeight="1" thickBot="1">
      <c r="B12" s="219" t="s">
        <v>244</v>
      </c>
      <c r="C12" s="459" t="s">
        <v>246</v>
      </c>
      <c r="D12" s="460"/>
      <c r="E12" s="166"/>
      <c r="G12" s="198" t="s">
        <v>271</v>
      </c>
      <c r="H12" s="199">
        <f>SUM(H6:H11)</f>
        <v>117</v>
      </c>
      <c r="I12" s="199">
        <f>SUM(I6:I11)</f>
        <v>117</v>
      </c>
      <c r="J12" s="200">
        <f t="shared" si="1"/>
        <v>1</v>
      </c>
    </row>
    <row r="13" spans="2:55" ht="82.5" customHeight="1" thickBot="1">
      <c r="B13" s="183" t="s">
        <v>245</v>
      </c>
      <c r="C13" s="459" t="s">
        <v>249</v>
      </c>
      <c r="D13" s="460"/>
      <c r="J13" s="159"/>
    </row>
    <row r="14" spans="2:55" ht="82.5" customHeight="1" thickBot="1">
      <c r="B14" s="184" t="s">
        <v>247</v>
      </c>
      <c r="C14" s="461" t="s">
        <v>250</v>
      </c>
      <c r="D14" s="462"/>
      <c r="G14" s="463" t="s">
        <v>260</v>
      </c>
      <c r="H14" s="464"/>
      <c r="I14" s="435">
        <f>J12</f>
        <v>1</v>
      </c>
      <c r="J14" s="436"/>
    </row>
    <row r="15" spans="2:55" ht="41.1" customHeight="1" thickBot="1"/>
    <row r="16" spans="2:55" ht="45.95" customHeight="1" thickBot="1">
      <c r="B16" s="465" t="s">
        <v>11</v>
      </c>
      <c r="C16" s="466"/>
      <c r="D16" s="466"/>
      <c r="E16" s="465" t="s">
        <v>195</v>
      </c>
      <c r="F16" s="467"/>
      <c r="G16" s="465" t="s">
        <v>9</v>
      </c>
      <c r="H16" s="466"/>
      <c r="I16" s="466"/>
      <c r="J16" s="466"/>
      <c r="K16" s="467"/>
      <c r="M16" s="124" t="s">
        <v>201</v>
      </c>
    </row>
    <row r="17" spans="2:58" s="172" customFormat="1" ht="45.95" customHeight="1">
      <c r="B17" s="448" t="s">
        <v>11</v>
      </c>
      <c r="C17" s="214">
        <v>1</v>
      </c>
      <c r="D17" s="215" t="s">
        <v>209</v>
      </c>
      <c r="E17" s="468" t="s">
        <v>266</v>
      </c>
      <c r="F17" s="469"/>
      <c r="G17" s="470"/>
      <c r="H17" s="471"/>
      <c r="I17" s="471"/>
      <c r="J17" s="471"/>
      <c r="K17" s="472"/>
      <c r="V17" s="122"/>
      <c r="AY17" s="172" t="str">
        <f>E17</f>
        <v>Yes</v>
      </c>
      <c r="BA17" s="221" t="s">
        <v>174</v>
      </c>
      <c r="BB17" s="123">
        <f>COUNTIF(AY17:AY23,BA17)</f>
        <v>0</v>
      </c>
      <c r="BC17" s="225" t="s">
        <v>262</v>
      </c>
    </row>
    <row r="18" spans="2:58" s="172" customFormat="1" ht="45.95" customHeight="1">
      <c r="B18" s="449"/>
      <c r="C18" s="216">
        <v>2</v>
      </c>
      <c r="D18" s="217" t="s">
        <v>210</v>
      </c>
      <c r="E18" s="473" t="s">
        <v>266</v>
      </c>
      <c r="F18" s="474"/>
      <c r="G18" s="475"/>
      <c r="H18" s="476"/>
      <c r="I18" s="476"/>
      <c r="J18" s="476"/>
      <c r="K18" s="477"/>
      <c r="V18" s="122"/>
      <c r="AY18" s="172" t="str">
        <f t="shared" ref="AY18:AY23" si="2">E18</f>
        <v>Yes</v>
      </c>
      <c r="BA18" s="221" t="s">
        <v>193</v>
      </c>
      <c r="BB18" s="123">
        <f>COUNTIF(AY17:AY23,BA18)</f>
        <v>0</v>
      </c>
      <c r="BC18" s="225" t="s">
        <v>263</v>
      </c>
    </row>
    <row r="19" spans="2:58" s="172" customFormat="1" ht="45.95" customHeight="1">
      <c r="B19" s="449"/>
      <c r="C19" s="214">
        <v>3</v>
      </c>
      <c r="D19" s="215" t="s">
        <v>211</v>
      </c>
      <c r="E19" s="478" t="s">
        <v>266</v>
      </c>
      <c r="F19" s="479"/>
      <c r="G19" s="480"/>
      <c r="H19" s="481"/>
      <c r="I19" s="481"/>
      <c r="J19" s="481"/>
      <c r="K19" s="482"/>
      <c r="V19" s="122"/>
      <c r="AY19" s="172" t="str">
        <f t="shared" si="2"/>
        <v>Yes</v>
      </c>
      <c r="BA19" s="224" t="s">
        <v>261</v>
      </c>
      <c r="BB19" s="123">
        <f>COUNTIF(AY17:AY23,BA19)</f>
        <v>0</v>
      </c>
      <c r="BC19" s="225" t="s">
        <v>264</v>
      </c>
    </row>
    <row r="20" spans="2:58" s="172" customFormat="1" ht="45.95" customHeight="1">
      <c r="B20" s="449"/>
      <c r="C20" s="216">
        <v>4</v>
      </c>
      <c r="D20" s="217" t="s">
        <v>212</v>
      </c>
      <c r="E20" s="473" t="s">
        <v>266</v>
      </c>
      <c r="F20" s="474"/>
      <c r="K20" s="173"/>
      <c r="V20" s="122"/>
      <c r="AY20" s="172" t="str">
        <f t="shared" si="2"/>
        <v>Yes</v>
      </c>
      <c r="BA20" s="222"/>
      <c r="BB20" s="122"/>
      <c r="BC20" s="122"/>
    </row>
    <row r="21" spans="2:58" s="172" customFormat="1" ht="45.95" customHeight="1">
      <c r="B21" s="449"/>
      <c r="C21" s="214">
        <v>5</v>
      </c>
      <c r="D21" s="215" t="s">
        <v>213</v>
      </c>
      <c r="E21" s="478" t="s">
        <v>266</v>
      </c>
      <c r="F21" s="479"/>
      <c r="G21" s="475"/>
      <c r="H21" s="476"/>
      <c r="I21" s="476"/>
      <c r="J21" s="476"/>
      <c r="K21" s="477"/>
      <c r="V21" s="122"/>
      <c r="BA21" s="222"/>
      <c r="BB21" s="122"/>
      <c r="BC21" s="122"/>
    </row>
    <row r="22" spans="2:58" s="172" customFormat="1" ht="45.95" customHeight="1">
      <c r="B22" s="449"/>
      <c r="C22" s="216">
        <v>6</v>
      </c>
      <c r="D22" s="217" t="s">
        <v>214</v>
      </c>
      <c r="E22" s="473" t="s">
        <v>266</v>
      </c>
      <c r="F22" s="474"/>
      <c r="G22" s="475"/>
      <c r="H22" s="476"/>
      <c r="I22" s="476"/>
      <c r="J22" s="476"/>
      <c r="K22" s="477"/>
      <c r="V22" s="122"/>
      <c r="AY22" s="172" t="str">
        <f t="shared" si="2"/>
        <v>Yes</v>
      </c>
      <c r="BA22" s="222"/>
      <c r="BB22" s="122"/>
      <c r="BC22" s="122"/>
    </row>
    <row r="23" spans="2:58" s="126" customFormat="1" ht="45.95" customHeight="1" thickBot="1">
      <c r="B23" s="449"/>
      <c r="C23" s="226">
        <v>7</v>
      </c>
      <c r="D23" s="218" t="s">
        <v>215</v>
      </c>
      <c r="E23" s="483" t="s">
        <v>266</v>
      </c>
      <c r="F23" s="484"/>
      <c r="G23" s="485"/>
      <c r="H23" s="486"/>
      <c r="I23" s="486"/>
      <c r="J23" s="486"/>
      <c r="K23" s="487"/>
      <c r="V23" s="220"/>
      <c r="AY23" s="172" t="str">
        <f t="shared" si="2"/>
        <v>Yes</v>
      </c>
      <c r="BA23" s="223"/>
      <c r="BB23" s="122"/>
      <c r="BC23" s="122"/>
      <c r="BD23" s="172"/>
      <c r="BF23" s="172"/>
    </row>
    <row r="24" spans="2:58" ht="45.95" customHeight="1" thickBot="1">
      <c r="B24" s="465" t="s">
        <v>196</v>
      </c>
      <c r="C24" s="466"/>
      <c r="D24" s="466"/>
      <c r="E24" s="185" t="s">
        <v>195</v>
      </c>
      <c r="F24" s="188" t="s">
        <v>197</v>
      </c>
      <c r="G24" s="466" t="s">
        <v>9</v>
      </c>
      <c r="H24" s="466"/>
      <c r="I24" s="466"/>
      <c r="J24" s="466"/>
      <c r="K24" s="467"/>
    </row>
    <row r="25" spans="2:58" ht="63.75" customHeight="1">
      <c r="B25" s="449" t="s">
        <v>254</v>
      </c>
      <c r="C25" s="174">
        <v>1</v>
      </c>
      <c r="D25" s="191" t="s">
        <v>259</v>
      </c>
      <c r="E25" s="175" t="s">
        <v>266</v>
      </c>
      <c r="F25" s="176">
        <f>IF(E25="Yes",5,0)</f>
        <v>5</v>
      </c>
      <c r="G25" s="524"/>
      <c r="H25" s="525"/>
      <c r="I25" s="525"/>
      <c r="J25" s="525"/>
      <c r="K25" s="526"/>
    </row>
    <row r="26" spans="2:58" ht="45.95" customHeight="1">
      <c r="B26" s="449"/>
      <c r="C26" s="127">
        <v>2</v>
      </c>
      <c r="D26" s="192" t="s">
        <v>219</v>
      </c>
      <c r="E26" s="140" t="s">
        <v>266</v>
      </c>
      <c r="F26" s="135">
        <f>IF(E26="Yes",5,0)</f>
        <v>5</v>
      </c>
      <c r="G26" s="500"/>
      <c r="H26" s="501"/>
      <c r="I26" s="501"/>
      <c r="J26" s="501"/>
      <c r="K26" s="502"/>
    </row>
    <row r="27" spans="2:58" ht="45.95" customHeight="1">
      <c r="B27" s="449"/>
      <c r="C27" s="143">
        <v>3</v>
      </c>
      <c r="D27" s="193" t="s">
        <v>216</v>
      </c>
      <c r="E27" s="177" t="s">
        <v>266</v>
      </c>
      <c r="F27" s="178">
        <f>IF(E27="Yes",5,0)</f>
        <v>5</v>
      </c>
      <c r="G27" s="503"/>
      <c r="H27" s="504"/>
      <c r="I27" s="504"/>
      <c r="J27" s="504"/>
      <c r="K27" s="505"/>
    </row>
    <row r="28" spans="2:58" ht="51.75" customHeight="1">
      <c r="B28" s="449"/>
      <c r="C28" s="127">
        <v>4</v>
      </c>
      <c r="D28" s="192" t="s">
        <v>217</v>
      </c>
      <c r="E28" s="140" t="s">
        <v>266</v>
      </c>
      <c r="F28" s="135">
        <f t="shared" ref="F28:F32" si="3">IF(E28="Yes",1,0)</f>
        <v>1</v>
      </c>
      <c r="G28" s="500"/>
      <c r="H28" s="501"/>
      <c r="I28" s="501"/>
      <c r="J28" s="501"/>
      <c r="K28" s="502"/>
    </row>
    <row r="29" spans="2:58" ht="50.25" customHeight="1">
      <c r="B29" s="449"/>
      <c r="C29" s="151">
        <v>5</v>
      </c>
      <c r="D29" s="193" t="s">
        <v>218</v>
      </c>
      <c r="E29" s="177" t="s">
        <v>266</v>
      </c>
      <c r="F29" s="178">
        <f t="shared" si="3"/>
        <v>1</v>
      </c>
      <c r="G29" s="144"/>
      <c r="H29" s="145"/>
      <c r="I29" s="145"/>
      <c r="J29" s="145"/>
      <c r="K29" s="146"/>
    </row>
    <row r="30" spans="2:58" ht="47.25" customHeight="1">
      <c r="B30" s="449"/>
      <c r="C30" s="131">
        <v>6</v>
      </c>
      <c r="D30" s="192" t="s">
        <v>220</v>
      </c>
      <c r="E30" s="140" t="s">
        <v>266</v>
      </c>
      <c r="F30" s="135">
        <f>IF(E30="Yes",7,0)</f>
        <v>7</v>
      </c>
      <c r="G30" s="152"/>
      <c r="H30" s="153"/>
      <c r="I30" s="153"/>
      <c r="J30" s="153"/>
      <c r="K30" s="154"/>
    </row>
    <row r="31" spans="2:58" ht="48.75" customHeight="1" thickBot="1">
      <c r="B31" s="450"/>
      <c r="C31" s="158">
        <v>7</v>
      </c>
      <c r="D31" s="194" t="s">
        <v>221</v>
      </c>
      <c r="E31" s="179" t="s">
        <v>266</v>
      </c>
      <c r="F31" s="180">
        <f>IF(E31="Yes",7,0)</f>
        <v>7</v>
      </c>
      <c r="G31" s="155"/>
      <c r="H31" s="156"/>
      <c r="I31" s="156"/>
      <c r="J31" s="156"/>
      <c r="K31" s="157"/>
    </row>
    <row r="32" spans="2:58" ht="48.75" customHeight="1">
      <c r="B32" s="448" t="s">
        <v>257</v>
      </c>
      <c r="C32" s="227">
        <v>1</v>
      </c>
      <c r="D32" s="206" t="s">
        <v>222</v>
      </c>
      <c r="E32" s="181" t="s">
        <v>266</v>
      </c>
      <c r="F32" s="182">
        <f t="shared" si="3"/>
        <v>1</v>
      </c>
      <c r="G32" s="512"/>
      <c r="H32" s="513"/>
      <c r="I32" s="513"/>
      <c r="J32" s="513"/>
      <c r="K32" s="514"/>
    </row>
    <row r="33" spans="2:11" ht="45.95" customHeight="1">
      <c r="B33" s="449"/>
      <c r="C33" s="143">
        <v>2</v>
      </c>
      <c r="D33" s="203" t="s">
        <v>223</v>
      </c>
      <c r="E33" s="177" t="s">
        <v>266</v>
      </c>
      <c r="F33" s="178">
        <f>IF(E33="Yes",5,0)</f>
        <v>5</v>
      </c>
      <c r="G33" s="503"/>
      <c r="H33" s="504"/>
      <c r="I33" s="504"/>
      <c r="J33" s="504"/>
      <c r="K33" s="505"/>
    </row>
    <row r="34" spans="2:11" ht="45.95" customHeight="1">
      <c r="B34" s="449"/>
      <c r="C34" s="131">
        <v>3</v>
      </c>
      <c r="D34" s="202" t="s">
        <v>224</v>
      </c>
      <c r="E34" s="140" t="s">
        <v>266</v>
      </c>
      <c r="F34" s="135">
        <f>IF(E34="Yes",5,0)</f>
        <v>5</v>
      </c>
      <c r="G34" s="500"/>
      <c r="H34" s="501"/>
      <c r="I34" s="501"/>
      <c r="J34" s="501"/>
      <c r="K34" s="502"/>
    </row>
    <row r="35" spans="2:11" ht="48.75" customHeight="1" thickBot="1">
      <c r="B35" s="450"/>
      <c r="C35" s="158">
        <v>4</v>
      </c>
      <c r="D35" s="207" t="s">
        <v>225</v>
      </c>
      <c r="E35" s="179" t="s">
        <v>266</v>
      </c>
      <c r="F35" s="180">
        <f>IF(E35="Yes",7,0)</f>
        <v>7</v>
      </c>
      <c r="G35" s="515"/>
      <c r="H35" s="516"/>
      <c r="I35" s="516"/>
      <c r="J35" s="516"/>
      <c r="K35" s="517"/>
    </row>
    <row r="36" spans="2:11" ht="45.95" customHeight="1">
      <c r="B36" s="449" t="s">
        <v>200</v>
      </c>
      <c r="C36" s="130">
        <v>1</v>
      </c>
      <c r="D36" s="208" t="s">
        <v>272</v>
      </c>
      <c r="E36" s="181" t="s">
        <v>266</v>
      </c>
      <c r="F36" s="182">
        <f>IF(E36="Yes",7,0)</f>
        <v>7</v>
      </c>
      <c r="G36" s="488"/>
      <c r="H36" s="489"/>
      <c r="I36" s="489"/>
      <c r="J36" s="489"/>
      <c r="K36" s="490"/>
    </row>
    <row r="37" spans="2:11" ht="45.95" customHeight="1">
      <c r="B37" s="449"/>
      <c r="C37" s="174">
        <v>2</v>
      </c>
      <c r="D37" s="203" t="s">
        <v>226</v>
      </c>
      <c r="E37" s="177" t="s">
        <v>266</v>
      </c>
      <c r="F37" s="178">
        <f>IF(E37="Yes",5,0)</f>
        <v>5</v>
      </c>
      <c r="G37" s="195"/>
      <c r="H37" s="196"/>
      <c r="I37" s="196"/>
      <c r="J37" s="196"/>
      <c r="K37" s="197"/>
    </row>
    <row r="38" spans="2:11" ht="50.25" customHeight="1">
      <c r="B38" s="449"/>
      <c r="C38" s="127">
        <v>3</v>
      </c>
      <c r="D38" s="202" t="s">
        <v>228</v>
      </c>
      <c r="E38" s="140" t="s">
        <v>266</v>
      </c>
      <c r="F38" s="135">
        <f>IF(OR(E38="Yes",E38="NA"),7,0)</f>
        <v>7</v>
      </c>
      <c r="G38" s="491"/>
      <c r="H38" s="492"/>
      <c r="I38" s="492"/>
      <c r="J38" s="492"/>
      <c r="K38" s="493"/>
    </row>
    <row r="39" spans="2:11" ht="68.25" customHeight="1">
      <c r="B39" s="449"/>
      <c r="C39" s="174">
        <v>4</v>
      </c>
      <c r="D39" s="203" t="s">
        <v>273</v>
      </c>
      <c r="E39" s="177" t="s">
        <v>266</v>
      </c>
      <c r="F39" s="178">
        <f>IF(OR(E39="Yes",E39="NA"),7,0)</f>
        <v>7</v>
      </c>
      <c r="G39" s="195"/>
      <c r="H39" s="196"/>
      <c r="I39" s="196"/>
      <c r="J39" s="196"/>
      <c r="K39" s="197"/>
    </row>
    <row r="40" spans="2:11" ht="45.95" customHeight="1" thickBot="1">
      <c r="B40" s="449"/>
      <c r="C40" s="132">
        <v>5</v>
      </c>
      <c r="D40" s="209" t="s">
        <v>227</v>
      </c>
      <c r="E40" s="142" t="s">
        <v>266</v>
      </c>
      <c r="F40" s="137">
        <f>IF(E40="Yes",5,0)</f>
        <v>5</v>
      </c>
      <c r="G40" s="494"/>
      <c r="H40" s="495"/>
      <c r="I40" s="495"/>
      <c r="J40" s="495"/>
      <c r="K40" s="496"/>
    </row>
    <row r="41" spans="2:11" ht="50.25" customHeight="1">
      <c r="B41" s="448" t="s">
        <v>255</v>
      </c>
      <c r="C41" s="174">
        <v>1</v>
      </c>
      <c r="D41" s="201" t="s">
        <v>229</v>
      </c>
      <c r="E41" s="175" t="s">
        <v>266</v>
      </c>
      <c r="F41" s="176">
        <f>IF(E41="Yes",5,0)</f>
        <v>5</v>
      </c>
      <c r="G41" s="149"/>
      <c r="H41" s="147"/>
      <c r="I41" s="147"/>
      <c r="J41" s="147"/>
      <c r="K41" s="148"/>
    </row>
    <row r="42" spans="2:11" ht="47.25" customHeight="1">
      <c r="B42" s="449"/>
      <c r="C42" s="127">
        <v>2</v>
      </c>
      <c r="D42" s="202" t="s">
        <v>237</v>
      </c>
      <c r="E42" s="140" t="s">
        <v>266</v>
      </c>
      <c r="F42" s="135">
        <f>IF(E42="Yes",5,0)</f>
        <v>5</v>
      </c>
      <c r="G42" s="500"/>
      <c r="H42" s="501"/>
      <c r="I42" s="501"/>
      <c r="J42" s="501"/>
      <c r="K42" s="502"/>
    </row>
    <row r="43" spans="2:11" ht="45.95" customHeight="1">
      <c r="B43" s="449"/>
      <c r="C43" s="143">
        <v>3</v>
      </c>
      <c r="D43" s="212" t="s">
        <v>236</v>
      </c>
      <c r="E43" s="140" t="s">
        <v>266</v>
      </c>
      <c r="F43" s="178">
        <f>IF(E43="Yes",7,0)</f>
        <v>7</v>
      </c>
      <c r="G43" s="503"/>
      <c r="H43" s="504"/>
      <c r="I43" s="504"/>
      <c r="J43" s="504"/>
      <c r="K43" s="505"/>
    </row>
    <row r="44" spans="2:11" ht="45.95" customHeight="1">
      <c r="B44" s="449"/>
      <c r="C44" s="127">
        <v>4</v>
      </c>
      <c r="D44" s="202" t="s">
        <v>235</v>
      </c>
      <c r="E44" s="140" t="s">
        <v>266</v>
      </c>
      <c r="F44" s="135">
        <f>IF(E44="Yes",1,0)</f>
        <v>1</v>
      </c>
      <c r="G44" s="500"/>
      <c r="H44" s="501"/>
      <c r="I44" s="501"/>
      <c r="J44" s="501"/>
      <c r="K44" s="502"/>
    </row>
    <row r="45" spans="2:11" ht="45.95" customHeight="1" thickBot="1">
      <c r="B45" s="450"/>
      <c r="C45" s="158">
        <v>5</v>
      </c>
      <c r="D45" s="207" t="s">
        <v>230</v>
      </c>
      <c r="E45" s="179" t="s">
        <v>266</v>
      </c>
      <c r="F45" s="180">
        <f t="shared" ref="F45:F49" si="4">IF(E45="Yes",1,0)</f>
        <v>1</v>
      </c>
      <c r="G45" s="515"/>
      <c r="H45" s="516"/>
      <c r="I45" s="516"/>
      <c r="J45" s="516"/>
      <c r="K45" s="517"/>
    </row>
    <row r="46" spans="2:11" ht="45.95" customHeight="1">
      <c r="B46" s="448" t="s">
        <v>242</v>
      </c>
      <c r="C46" s="130">
        <v>1</v>
      </c>
      <c r="D46" s="213" t="s">
        <v>238</v>
      </c>
      <c r="E46" s="140" t="s">
        <v>266</v>
      </c>
      <c r="F46" s="135">
        <f>IF(E46="Yes",7,0)</f>
        <v>7</v>
      </c>
      <c r="G46" s="521"/>
      <c r="H46" s="522"/>
      <c r="I46" s="522"/>
      <c r="J46" s="522"/>
      <c r="K46" s="523"/>
    </row>
    <row r="47" spans="2:11" ht="45.95" customHeight="1">
      <c r="B47" s="449"/>
      <c r="C47" s="143">
        <v>2</v>
      </c>
      <c r="D47" s="193" t="s">
        <v>239</v>
      </c>
      <c r="E47" s="177" t="s">
        <v>266</v>
      </c>
      <c r="F47" s="178">
        <f>IF(E47="Yes",5,0)</f>
        <v>5</v>
      </c>
      <c r="G47" s="503"/>
      <c r="H47" s="504"/>
      <c r="I47" s="504"/>
      <c r="J47" s="504"/>
      <c r="K47" s="505"/>
    </row>
    <row r="48" spans="2:11" ht="45.95" customHeight="1" thickBot="1">
      <c r="B48" s="450"/>
      <c r="C48" s="132">
        <v>3</v>
      </c>
      <c r="D48" s="205" t="s">
        <v>231</v>
      </c>
      <c r="E48" s="142" t="s">
        <v>266</v>
      </c>
      <c r="F48" s="137">
        <f>IF(E48="Yes",1,0)</f>
        <v>1</v>
      </c>
      <c r="G48" s="494"/>
      <c r="H48" s="495"/>
      <c r="I48" s="495"/>
      <c r="J48" s="495"/>
      <c r="K48" s="496"/>
    </row>
    <row r="49" spans="2:11" ht="59.25" customHeight="1">
      <c r="B49" s="449" t="s">
        <v>256</v>
      </c>
      <c r="C49" s="174">
        <v>1</v>
      </c>
      <c r="D49" s="201" t="s">
        <v>232</v>
      </c>
      <c r="E49" s="175" t="s">
        <v>266</v>
      </c>
      <c r="F49" s="176">
        <f t="shared" si="4"/>
        <v>1</v>
      </c>
      <c r="G49" s="524"/>
      <c r="H49" s="525"/>
      <c r="I49" s="525"/>
      <c r="J49" s="525"/>
      <c r="K49" s="526"/>
    </row>
    <row r="50" spans="2:11" ht="72" customHeight="1">
      <c r="B50" s="449"/>
      <c r="C50" s="127">
        <v>2</v>
      </c>
      <c r="D50" s="202" t="s">
        <v>274</v>
      </c>
      <c r="E50" s="140" t="s">
        <v>266</v>
      </c>
      <c r="F50" s="135">
        <f>IF(OR(E50="Yes",E50="NA"),1,0)</f>
        <v>1</v>
      </c>
      <c r="G50" s="500"/>
      <c r="H50" s="501"/>
      <c r="I50" s="501"/>
      <c r="J50" s="501"/>
      <c r="K50" s="502"/>
    </row>
    <row r="51" spans="2:11" ht="66" customHeight="1">
      <c r="B51" s="449"/>
      <c r="C51" s="143">
        <v>3</v>
      </c>
      <c r="D51" s="203" t="s">
        <v>233</v>
      </c>
      <c r="E51" s="177" t="s">
        <v>266</v>
      </c>
      <c r="F51" s="178">
        <f>IF(OR(E51="Yes",E51="NA"),1,0)</f>
        <v>1</v>
      </c>
      <c r="G51" s="503"/>
      <c r="H51" s="504"/>
      <c r="I51" s="504"/>
      <c r="J51" s="504"/>
      <c r="K51" s="505"/>
    </row>
    <row r="52" spans="2:11" ht="45.95" customHeight="1">
      <c r="B52" s="449"/>
      <c r="C52" s="127">
        <v>4</v>
      </c>
      <c r="D52" s="202" t="s">
        <v>240</v>
      </c>
      <c r="E52" s="140" t="s">
        <v>266</v>
      </c>
      <c r="F52" s="135">
        <f>IF(E52="Yes",1,0)</f>
        <v>1</v>
      </c>
      <c r="G52" s="500"/>
      <c r="H52" s="501"/>
      <c r="I52" s="501"/>
      <c r="J52" s="501"/>
      <c r="K52" s="502"/>
    </row>
    <row r="53" spans="2:11" ht="45.75" customHeight="1">
      <c r="B53" s="449"/>
      <c r="C53" s="151">
        <v>5</v>
      </c>
      <c r="D53" s="204" t="s">
        <v>234</v>
      </c>
      <c r="E53" s="189" t="s">
        <v>266</v>
      </c>
      <c r="F53" s="190">
        <f>IF(E53="Yes",1,0)</f>
        <v>1</v>
      </c>
      <c r="G53" s="503"/>
      <c r="H53" s="504"/>
      <c r="I53" s="504"/>
      <c r="J53" s="504"/>
      <c r="K53" s="505"/>
    </row>
    <row r="54" spans="2:11" ht="31.5" customHeight="1">
      <c r="B54" s="231"/>
      <c r="C54" s="232"/>
      <c r="D54" s="233"/>
      <c r="E54" s="234"/>
      <c r="F54" s="234"/>
      <c r="G54" s="235"/>
      <c r="H54" s="235"/>
      <c r="I54" s="235"/>
      <c r="J54" s="235"/>
      <c r="K54" s="235"/>
    </row>
    <row r="55" spans="2:11" ht="31.5" customHeight="1"/>
    <row r="56" spans="2:11" ht="31.5" customHeight="1"/>
  </sheetData>
  <mergeCells count="62">
    <mergeCell ref="I14:J14"/>
    <mergeCell ref="B1:D2"/>
    <mergeCell ref="C3:D3"/>
    <mergeCell ref="C4:D4"/>
    <mergeCell ref="H4:J4"/>
    <mergeCell ref="C5:D5"/>
    <mergeCell ref="B7:B9"/>
    <mergeCell ref="C7:D7"/>
    <mergeCell ref="C8:D9"/>
    <mergeCell ref="C11:D11"/>
    <mergeCell ref="C12:D12"/>
    <mergeCell ref="C13:D13"/>
    <mergeCell ref="C14:D14"/>
    <mergeCell ref="G14:H14"/>
    <mergeCell ref="B16:D16"/>
    <mergeCell ref="E16:F16"/>
    <mergeCell ref="G16:K16"/>
    <mergeCell ref="B17:B23"/>
    <mergeCell ref="E17:F17"/>
    <mergeCell ref="G17:K17"/>
    <mergeCell ref="E18:F18"/>
    <mergeCell ref="G18:K18"/>
    <mergeCell ref="E19:F19"/>
    <mergeCell ref="G19:K19"/>
    <mergeCell ref="E20:F20"/>
    <mergeCell ref="E21:F21"/>
    <mergeCell ref="G21:K21"/>
    <mergeCell ref="E22:F22"/>
    <mergeCell ref="G22:K22"/>
    <mergeCell ref="E23:F23"/>
    <mergeCell ref="G23:K23"/>
    <mergeCell ref="B36:B40"/>
    <mergeCell ref="G36:K36"/>
    <mergeCell ref="G38:K38"/>
    <mergeCell ref="G40:K40"/>
    <mergeCell ref="B24:D24"/>
    <mergeCell ref="G24:K24"/>
    <mergeCell ref="B25:B31"/>
    <mergeCell ref="G25:K25"/>
    <mergeCell ref="G26:K26"/>
    <mergeCell ref="G27:K27"/>
    <mergeCell ref="G28:K28"/>
    <mergeCell ref="B41:B45"/>
    <mergeCell ref="G42:K42"/>
    <mergeCell ref="G43:K43"/>
    <mergeCell ref="B32:B35"/>
    <mergeCell ref="G32:K32"/>
    <mergeCell ref="G33:K33"/>
    <mergeCell ref="G34:K34"/>
    <mergeCell ref="G35:K35"/>
    <mergeCell ref="G44:K44"/>
    <mergeCell ref="G45:K45"/>
    <mergeCell ref="B46:B48"/>
    <mergeCell ref="G46:K46"/>
    <mergeCell ref="G47:K47"/>
    <mergeCell ref="G48:K48"/>
    <mergeCell ref="B49:B53"/>
    <mergeCell ref="G49:K49"/>
    <mergeCell ref="G50:K50"/>
    <mergeCell ref="G51:K51"/>
    <mergeCell ref="G52:K52"/>
    <mergeCell ref="G53:K53"/>
  </mergeCells>
  <conditionalFormatting sqref="E17:E23">
    <cfRule type="notContainsText" dxfId="15" priority="9" operator="notContains" text="YES">
      <formula>ISERROR(SEARCH("YES",E17))</formula>
    </cfRule>
  </conditionalFormatting>
  <conditionalFormatting sqref="E43:E53">
    <cfRule type="containsText" dxfId="14" priority="7" operator="containsText" text="No">
      <formula>NOT(ISERROR(SEARCH("No",E43)))</formula>
    </cfRule>
  </conditionalFormatting>
  <conditionalFormatting sqref="E25:F42">
    <cfRule type="containsText" dxfId="13" priority="8" operator="containsText" text="No">
      <formula>NOT(ISERROR(SEARCH("No",E25)))</formula>
    </cfRule>
  </conditionalFormatting>
  <conditionalFormatting sqref="H4:J4">
    <cfRule type="cellIs" dxfId="12" priority="1" operator="equal">
      <formula>"NO PASA"</formula>
    </cfRule>
    <cfRule type="cellIs" dxfId="11" priority="2" operator="equal">
      <formula>"NO PASA"</formula>
    </cfRule>
    <cfRule type="cellIs" dxfId="10" priority="3" operator="equal">
      <formula>"PASA"</formula>
    </cfRule>
    <cfRule type="cellIs" dxfId="9" priority="4" operator="equal">
      <formula>"PASA"</formula>
    </cfRule>
    <cfRule type="cellIs" dxfId="8" priority="5" operator="equal">
      <formula>"NO PASA"</formula>
    </cfRule>
    <cfRule type="containsText" dxfId="7" priority="6" operator="containsText" text="PASA">
      <formula>NOT(ISERROR(SEARCH("PASA",H4)))</formula>
    </cfRule>
    <cfRule type="cellIs" dxfId="6" priority="13" operator="equal">
      <formula>$BC$7</formula>
    </cfRule>
    <cfRule type="cellIs" dxfId="5" priority="14" operator="equal">
      <formula>$BC$6</formula>
    </cfRule>
    <cfRule type="cellIs" dxfId="4" priority="15" operator="equal">
      <formula>$BC$4</formula>
    </cfRule>
  </conditionalFormatting>
  <conditionalFormatting sqref="I14">
    <cfRule type="cellIs" dxfId="3" priority="10" operator="greaterThanOrEqual">
      <formula>0.9</formula>
    </cfRule>
    <cfRule type="cellIs" dxfId="2" priority="11" operator="between">
      <formula>0.71</formula>
      <formula>0.9</formula>
    </cfRule>
    <cfRule type="cellIs" dxfId="1" priority="12" operator="lessThan">
      <formula>0.71</formula>
    </cfRule>
  </conditionalFormatting>
  <dataValidations count="3">
    <dataValidation type="list" allowBlank="1" showInputMessage="1" showErrorMessage="1" sqref="E17:E23" xr:uid="{00000000-0002-0000-2A00-000000000000}">
      <formula1>"Yes,No,Cured in Moment"</formula1>
    </dataValidation>
    <dataValidation type="list" allowBlank="1" showInputMessage="1" showErrorMessage="1" sqref="E52:E53 E25:E37 E40:E49" xr:uid="{00000000-0002-0000-2A00-000001000000}">
      <formula1>"Yes,No"</formula1>
    </dataValidation>
    <dataValidation type="list" allowBlank="1" showInputMessage="1" showErrorMessage="1" sqref="E38:E39 E50:E51" xr:uid="{00000000-0002-0000-2A00-000002000000}">
      <formula1>"Yes,No,NA"</formula1>
    </dataValidation>
  </dataValidations>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theme="3" tint="0.79998168889431442"/>
  </sheetPr>
  <dimension ref="B1:H103"/>
  <sheetViews>
    <sheetView zoomScale="50" zoomScaleNormal="50" workbookViewId="0">
      <selection activeCell="J20" sqref="J20"/>
    </sheetView>
  </sheetViews>
  <sheetFormatPr baseColWidth="10" defaultColWidth="8.85546875" defaultRowHeight="18"/>
  <cols>
    <col min="1" max="1" width="4.42578125" style="124" customWidth="1"/>
    <col min="2" max="2" width="40.140625" style="122" customWidth="1"/>
    <col min="3" max="3" width="40.140625" style="129" customWidth="1"/>
    <col min="4" max="4" width="40.140625" style="128" customWidth="1"/>
    <col min="5" max="5" width="109.42578125" style="123" customWidth="1"/>
    <col min="6" max="6" width="32.42578125" style="123" customWidth="1"/>
    <col min="7" max="16384" width="8.85546875" style="124"/>
  </cols>
  <sheetData>
    <row r="1" spans="2:8" ht="33" customHeight="1">
      <c r="D1" s="122"/>
    </row>
    <row r="2" spans="2:8" ht="99" customHeight="1" thickBot="1">
      <c r="B2" s="527" t="s">
        <v>258</v>
      </c>
      <c r="C2" s="527"/>
      <c r="D2" s="527"/>
      <c r="E2" s="527"/>
    </row>
    <row r="3" spans="2:8" s="123" customFormat="1" ht="38.1" customHeight="1">
      <c r="B3" s="528" t="s">
        <v>204</v>
      </c>
      <c r="C3" s="529"/>
      <c r="D3" s="529"/>
      <c r="E3" s="529"/>
      <c r="F3" s="530"/>
    </row>
    <row r="4" spans="2:8" ht="42.95" customHeight="1">
      <c r="B4" s="531" t="s">
        <v>207</v>
      </c>
      <c r="C4" s="532"/>
      <c r="D4" s="532"/>
      <c r="E4" s="532"/>
      <c r="F4" s="533"/>
      <c r="H4" s="124" t="s">
        <v>201</v>
      </c>
    </row>
    <row r="5" spans="2:8" ht="38.1" customHeight="1">
      <c r="B5" s="534" t="s">
        <v>267</v>
      </c>
      <c r="C5" s="536" t="s">
        <v>268</v>
      </c>
      <c r="D5" s="536" t="s">
        <v>269</v>
      </c>
      <c r="E5" s="536" t="s">
        <v>9</v>
      </c>
      <c r="F5" s="538" t="s">
        <v>270</v>
      </c>
    </row>
    <row r="6" spans="2:8" ht="12" hidden="1" customHeight="1">
      <c r="B6" s="535"/>
      <c r="C6" s="537"/>
      <c r="D6" s="537" t="s">
        <v>203</v>
      </c>
      <c r="E6" s="537" t="s">
        <v>9</v>
      </c>
      <c r="F6" s="539" t="s">
        <v>202</v>
      </c>
    </row>
    <row r="7" spans="2:8" ht="39.950000000000003" customHeight="1">
      <c r="B7" s="139"/>
      <c r="C7" s="130"/>
      <c r="D7" s="138"/>
      <c r="E7" s="130"/>
      <c r="F7" s="134"/>
    </row>
    <row r="8" spans="2:8" ht="39.950000000000003" customHeight="1">
      <c r="B8" s="140"/>
      <c r="C8" s="127"/>
      <c r="D8" s="138"/>
      <c r="E8" s="127"/>
      <c r="F8" s="135"/>
    </row>
    <row r="9" spans="2:8" ht="39.950000000000003" customHeight="1">
      <c r="B9" s="141"/>
      <c r="C9" s="127"/>
      <c r="D9" s="138"/>
      <c r="E9" s="127"/>
      <c r="F9" s="136"/>
    </row>
    <row r="10" spans="2:8" ht="39.950000000000003" customHeight="1">
      <c r="B10" s="141"/>
      <c r="C10" s="131"/>
      <c r="D10" s="131"/>
      <c r="E10" s="131"/>
      <c r="F10" s="136"/>
    </row>
    <row r="11" spans="2:8" ht="39.950000000000003" customHeight="1">
      <c r="B11" s="141"/>
      <c r="C11" s="131"/>
      <c r="D11" s="131"/>
      <c r="E11" s="131"/>
      <c r="F11" s="136"/>
    </row>
    <row r="12" spans="2:8" ht="44.1" customHeight="1">
      <c r="B12" s="141"/>
      <c r="C12" s="131"/>
      <c r="D12" s="131"/>
      <c r="E12" s="131"/>
      <c r="F12" s="136"/>
    </row>
    <row r="13" spans="2:8" s="126" customFormat="1" ht="30.95" customHeight="1">
      <c r="B13" s="141"/>
      <c r="C13" s="131"/>
      <c r="D13" s="131"/>
      <c r="E13" s="131"/>
      <c r="F13" s="136"/>
    </row>
    <row r="14" spans="2:8" ht="39.950000000000003" customHeight="1">
      <c r="B14" s="141"/>
      <c r="C14" s="131"/>
      <c r="D14" s="131"/>
      <c r="E14" s="131"/>
      <c r="F14" s="136"/>
    </row>
    <row r="15" spans="2:8" ht="39.950000000000003" customHeight="1">
      <c r="B15" s="141"/>
      <c r="C15" s="131"/>
      <c r="D15" s="131"/>
      <c r="E15" s="131"/>
      <c r="F15" s="136"/>
    </row>
    <row r="16" spans="2:8" ht="39.950000000000003" customHeight="1" thickBot="1">
      <c r="B16" s="142"/>
      <c r="C16" s="132"/>
      <c r="D16" s="132"/>
      <c r="E16" s="132"/>
      <c r="F16" s="137"/>
    </row>
    <row r="17" spans="2:6" ht="39.950000000000003" customHeight="1" thickBot="1">
      <c r="B17" s="123"/>
      <c r="C17" s="123"/>
      <c r="D17" s="123"/>
    </row>
    <row r="18" spans="2:6" ht="39.950000000000003" customHeight="1">
      <c r="B18" s="528" t="s">
        <v>205</v>
      </c>
      <c r="C18" s="529"/>
      <c r="D18" s="529"/>
      <c r="E18" s="529"/>
      <c r="F18" s="530"/>
    </row>
    <row r="19" spans="2:6" ht="42.95" customHeight="1">
      <c r="B19" s="531" t="s">
        <v>207</v>
      </c>
      <c r="C19" s="532"/>
      <c r="D19" s="532"/>
      <c r="E19" s="532"/>
      <c r="F19" s="533"/>
    </row>
    <row r="20" spans="2:6" ht="39.950000000000003" customHeight="1">
      <c r="B20" s="534" t="s">
        <v>267</v>
      </c>
      <c r="C20" s="536" t="s">
        <v>316</v>
      </c>
      <c r="D20" s="536" t="s">
        <v>269</v>
      </c>
      <c r="E20" s="536" t="s">
        <v>9</v>
      </c>
      <c r="F20" s="538" t="s">
        <v>270</v>
      </c>
    </row>
    <row r="21" spans="2:6" ht="18" customHeight="1" thickBot="1">
      <c r="B21" s="535"/>
      <c r="C21" s="537"/>
      <c r="D21" s="537" t="s">
        <v>203</v>
      </c>
      <c r="E21" s="537" t="s">
        <v>9</v>
      </c>
      <c r="F21" s="539" t="s">
        <v>202</v>
      </c>
    </row>
    <row r="22" spans="2:6" ht="39.950000000000003" customHeight="1">
      <c r="B22" s="140"/>
      <c r="C22" s="127"/>
      <c r="D22" s="127"/>
      <c r="E22" s="127"/>
      <c r="F22" s="135"/>
    </row>
    <row r="23" spans="2:6" ht="39.950000000000003" customHeight="1">
      <c r="B23" s="141"/>
      <c r="C23" s="131"/>
      <c r="D23" s="131"/>
      <c r="E23" s="131"/>
      <c r="F23" s="136"/>
    </row>
    <row r="24" spans="2:6" ht="39.950000000000003" customHeight="1">
      <c r="B24" s="141"/>
      <c r="C24" s="131"/>
      <c r="D24" s="131"/>
      <c r="E24" s="131"/>
      <c r="F24" s="136"/>
    </row>
    <row r="25" spans="2:6" ht="39.950000000000003" customHeight="1">
      <c r="B25" s="141"/>
      <c r="C25" s="131"/>
      <c r="D25" s="131"/>
      <c r="E25" s="131"/>
      <c r="F25" s="136"/>
    </row>
    <row r="26" spans="2:6" ht="39.950000000000003" customHeight="1">
      <c r="B26" s="141"/>
      <c r="C26" s="131"/>
      <c r="D26" s="131"/>
      <c r="E26" s="131"/>
      <c r="F26" s="136"/>
    </row>
    <row r="27" spans="2:6" ht="39.950000000000003" customHeight="1">
      <c r="B27" s="141"/>
      <c r="C27" s="131"/>
      <c r="D27" s="131"/>
      <c r="E27" s="131"/>
      <c r="F27" s="136"/>
    </row>
    <row r="28" spans="2:6" ht="39.950000000000003" customHeight="1">
      <c r="B28" s="141"/>
      <c r="C28" s="131"/>
      <c r="D28" s="131"/>
      <c r="E28" s="131"/>
      <c r="F28" s="136"/>
    </row>
    <row r="29" spans="2:6" ht="44.1" customHeight="1">
      <c r="B29" s="141"/>
      <c r="C29" s="131"/>
      <c r="D29" s="131"/>
      <c r="E29" s="131"/>
      <c r="F29" s="136"/>
    </row>
    <row r="30" spans="2:6" ht="39.950000000000003" customHeight="1" thickBot="1">
      <c r="B30" s="142"/>
      <c r="C30" s="132"/>
      <c r="D30" s="132"/>
      <c r="E30" s="132"/>
      <c r="F30" s="137"/>
    </row>
    <row r="31" spans="2:6" ht="39.950000000000003" customHeight="1" thickBot="1">
      <c r="B31" s="123"/>
      <c r="C31" s="123"/>
      <c r="D31" s="123"/>
    </row>
    <row r="32" spans="2:6" ht="39.950000000000003" customHeight="1">
      <c r="B32" s="528" t="s">
        <v>206</v>
      </c>
      <c r="C32" s="529"/>
      <c r="D32" s="529"/>
      <c r="E32" s="529"/>
      <c r="F32" s="530"/>
    </row>
    <row r="33" spans="2:6" ht="42.95" customHeight="1">
      <c r="B33" s="531" t="s">
        <v>207</v>
      </c>
      <c r="C33" s="532"/>
      <c r="D33" s="532"/>
      <c r="E33" s="532"/>
      <c r="F33" s="533"/>
    </row>
    <row r="34" spans="2:6" ht="49.5" customHeight="1">
      <c r="B34" s="534" t="s">
        <v>267</v>
      </c>
      <c r="C34" s="536" t="s">
        <v>268</v>
      </c>
      <c r="D34" s="536" t="s">
        <v>269</v>
      </c>
      <c r="E34" s="536" t="s">
        <v>9</v>
      </c>
      <c r="F34" s="538" t="s">
        <v>270</v>
      </c>
    </row>
    <row r="35" spans="2:6" ht="39.75" hidden="1" customHeight="1">
      <c r="B35" s="535"/>
      <c r="C35" s="537"/>
      <c r="D35" s="537" t="s">
        <v>203</v>
      </c>
      <c r="E35" s="537" t="s">
        <v>9</v>
      </c>
      <c r="F35" s="539" t="s">
        <v>202</v>
      </c>
    </row>
    <row r="36" spans="2:6" ht="39.950000000000003" customHeight="1">
      <c r="B36" s="140"/>
      <c r="C36" s="127"/>
      <c r="D36" s="127"/>
      <c r="E36" s="127"/>
      <c r="F36" s="135"/>
    </row>
    <row r="37" spans="2:6" ht="39.950000000000003" customHeight="1">
      <c r="B37" s="141"/>
      <c r="C37" s="131"/>
      <c r="D37" s="131"/>
      <c r="E37" s="131"/>
      <c r="F37" s="136"/>
    </row>
    <row r="38" spans="2:6" ht="39.950000000000003" customHeight="1">
      <c r="B38" s="141"/>
      <c r="C38" s="131"/>
      <c r="D38" s="131"/>
      <c r="E38" s="131"/>
      <c r="F38" s="136"/>
    </row>
    <row r="39" spans="2:6" ht="39.950000000000003" customHeight="1">
      <c r="B39" s="141"/>
      <c r="C39" s="131"/>
      <c r="D39" s="131"/>
      <c r="E39" s="131"/>
      <c r="F39" s="136"/>
    </row>
    <row r="40" spans="2:6" ht="39.950000000000003" customHeight="1">
      <c r="B40" s="141"/>
      <c r="C40" s="131"/>
      <c r="D40" s="131"/>
      <c r="E40" s="131"/>
      <c r="F40" s="136"/>
    </row>
    <row r="41" spans="2:6" ht="39.950000000000003" customHeight="1">
      <c r="B41" s="141"/>
      <c r="C41" s="131"/>
      <c r="D41" s="131"/>
      <c r="E41" s="131"/>
      <c r="F41" s="136"/>
    </row>
    <row r="42" spans="2:6" ht="39.950000000000003" customHeight="1">
      <c r="B42" s="141"/>
      <c r="C42" s="131"/>
      <c r="D42" s="131"/>
      <c r="E42" s="131"/>
      <c r="F42" s="136"/>
    </row>
    <row r="43" spans="2:6" ht="39.950000000000003" customHeight="1">
      <c r="B43" s="141"/>
      <c r="C43" s="131"/>
      <c r="D43" s="131"/>
      <c r="E43" s="131"/>
      <c r="F43" s="136"/>
    </row>
    <row r="44" spans="2:6" ht="30.95" customHeight="1" thickBot="1">
      <c r="B44" s="142"/>
      <c r="C44" s="132"/>
      <c r="D44" s="132"/>
      <c r="E44" s="132"/>
      <c r="F44" s="137"/>
    </row>
    <row r="45" spans="2:6" ht="39.950000000000003" customHeight="1"/>
    <row r="46" spans="2:6" ht="44.1" customHeight="1"/>
    <row r="47" spans="2:6" ht="39.950000000000003" customHeight="1"/>
    <row r="48" spans="2:6" ht="44.1" customHeight="1"/>
    <row r="49" spans="2:7" ht="44.1" customHeight="1"/>
    <row r="50" spans="2:7" ht="44.1" customHeight="1"/>
    <row r="51" spans="2:7" ht="30.95" customHeight="1"/>
    <row r="52" spans="2:7" ht="44.1" customHeight="1"/>
    <row r="53" spans="2:7" ht="39.950000000000003" customHeight="1"/>
    <row r="54" spans="2:7" ht="39.950000000000003" customHeight="1"/>
    <row r="55" spans="2:7" ht="39.950000000000003" customHeight="1"/>
    <row r="56" spans="2:7" ht="39.950000000000003" customHeight="1"/>
    <row r="57" spans="2:7" s="133" customFormat="1" ht="30.95" customHeight="1">
      <c r="B57" s="122"/>
      <c r="C57" s="129"/>
      <c r="D57" s="128"/>
      <c r="E57" s="123"/>
      <c r="F57" s="123"/>
    </row>
    <row r="58" spans="2:7" s="125" customFormat="1" ht="39.950000000000003" customHeight="1">
      <c r="B58" s="122"/>
      <c r="C58" s="129"/>
      <c r="D58" s="128"/>
      <c r="E58" s="123"/>
      <c r="F58" s="123"/>
      <c r="G58" s="124"/>
    </row>
    <row r="59" spans="2:7" s="125" customFormat="1" ht="39.950000000000003" customHeight="1">
      <c r="B59" s="122"/>
      <c r="C59" s="129"/>
      <c r="D59" s="128"/>
      <c r="E59" s="123"/>
      <c r="F59" s="123"/>
    </row>
    <row r="60" spans="2:7" s="125" customFormat="1" ht="39.950000000000003" customHeight="1">
      <c r="B60" s="122"/>
      <c r="C60" s="129"/>
      <c r="D60" s="128"/>
      <c r="E60" s="123"/>
      <c r="F60" s="123"/>
    </row>
    <row r="61" spans="2:7" s="125" customFormat="1" ht="39.950000000000003" customHeight="1">
      <c r="B61" s="122"/>
      <c r="C61" s="129"/>
      <c r="D61" s="128"/>
      <c r="E61" s="123"/>
      <c r="F61" s="123"/>
    </row>
    <row r="62" spans="2:7" s="125" customFormat="1" ht="39.950000000000003" customHeight="1">
      <c r="B62" s="122"/>
      <c r="C62" s="129"/>
      <c r="D62" s="128"/>
      <c r="E62" s="123"/>
      <c r="F62" s="123"/>
    </row>
    <row r="63" spans="2:7" ht="39.950000000000003" customHeight="1">
      <c r="G63" s="125"/>
    </row>
    <row r="64" spans="2:7" ht="39.950000000000003" customHeight="1"/>
    <row r="65" ht="39.950000000000003" customHeight="1"/>
    <row r="66" ht="39.950000000000003" customHeight="1"/>
    <row r="67" ht="44.1" customHeight="1"/>
    <row r="68" ht="30.95" customHeight="1"/>
    <row r="69" ht="39.950000000000003" customHeight="1"/>
    <row r="70" ht="39.950000000000003" customHeight="1"/>
    <row r="71" ht="44.1" customHeight="1"/>
    <row r="72" ht="39.950000000000003" customHeight="1"/>
    <row r="73" ht="39.950000000000003" customHeight="1"/>
    <row r="74" ht="39.950000000000003" customHeight="1"/>
    <row r="75" ht="44.1" customHeight="1"/>
    <row r="76" ht="39.950000000000003" customHeight="1"/>
    <row r="77" ht="39.950000000000003" customHeight="1"/>
    <row r="78" ht="39.950000000000003" customHeight="1"/>
    <row r="79" ht="30.95" customHeight="1"/>
    <row r="80" ht="39.950000000000003" customHeight="1"/>
    <row r="81" ht="39.950000000000003" customHeight="1"/>
    <row r="82" ht="39.950000000000003" customHeight="1"/>
    <row r="83" ht="39.950000000000003" customHeight="1"/>
    <row r="84" ht="39.950000000000003" customHeight="1"/>
    <row r="85" ht="39.950000000000003" customHeight="1"/>
    <row r="86" ht="44.1" customHeight="1"/>
    <row r="87" ht="39.950000000000003" customHeight="1"/>
    <row r="88" ht="31.5" customHeight="1"/>
    <row r="89" ht="53.1" customHeight="1"/>
    <row r="90" ht="30.95" customHeight="1"/>
    <row r="91" ht="30.95" customHeight="1"/>
    <row r="92" ht="30.95" customHeight="1"/>
    <row r="93" ht="30.95" customHeight="1"/>
    <row r="94" ht="30.95" customHeight="1"/>
    <row r="95" ht="30.95" customHeight="1"/>
    <row r="96" ht="30.95" customHeight="1"/>
    <row r="97" ht="30.95" customHeight="1"/>
    <row r="98" ht="30.95" customHeight="1"/>
    <row r="99" ht="30.95" customHeight="1"/>
    <row r="100" ht="30.95" customHeight="1"/>
    <row r="101" ht="30.95" customHeight="1"/>
    <row r="102" ht="30.95" customHeight="1"/>
    <row r="103" ht="30.95" customHeight="1"/>
  </sheetData>
  <mergeCells count="22">
    <mergeCell ref="B2:E2"/>
    <mergeCell ref="B3:F3"/>
    <mergeCell ref="B4:F4"/>
    <mergeCell ref="B5:B6"/>
    <mergeCell ref="C5:C6"/>
    <mergeCell ref="D5:D6"/>
    <mergeCell ref="E5:E6"/>
    <mergeCell ref="F5:F6"/>
    <mergeCell ref="B18:F18"/>
    <mergeCell ref="B19:F19"/>
    <mergeCell ref="B20:B21"/>
    <mergeCell ref="C20:C21"/>
    <mergeCell ref="D20:D21"/>
    <mergeCell ref="E20:E21"/>
    <mergeCell ref="F20:F21"/>
    <mergeCell ref="B32:F32"/>
    <mergeCell ref="B33:F33"/>
    <mergeCell ref="B34:B35"/>
    <mergeCell ref="C34:C35"/>
    <mergeCell ref="D34:D35"/>
    <mergeCell ref="E34:E35"/>
    <mergeCell ref="F34:F35"/>
  </mergeCells>
  <conditionalFormatting sqref="F31">
    <cfRule type="expression" dxfId="0" priority="1" stopIfTrue="1">
      <formula>IF($E31="NA",TRUE,FALSE)</formula>
    </cfRule>
  </conditionalFormatting>
  <dataValidations count="3">
    <dataValidation type="list" allowBlank="1" showInputMessage="1" showErrorMessage="1" sqref="E5:E6 E20:E21 E34:E35" xr:uid="{00000000-0002-0000-2B00-000000000000}">
      <formula1>"Yes,No,Cured in Moment"</formula1>
    </dataValidation>
    <dataValidation type="list" allowBlank="1" showInputMessage="1" showErrorMessage="1" sqref="E17" xr:uid="{00000000-0002-0000-2B00-000001000000}">
      <formula1>"Yes,No"</formula1>
    </dataValidation>
    <dataValidation type="list" allowBlank="1" showInputMessage="1" showErrorMessage="1" sqref="E31" xr:uid="{00000000-0002-0000-2B00-000002000000}">
      <formula1>"Yes,No,NA"</formula1>
    </dataValidation>
  </dataValidation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theme="3" tint="0.79998168889431442"/>
  </sheetPr>
  <dimension ref="B1:AP28"/>
  <sheetViews>
    <sheetView workbookViewId="0">
      <pane xSplit="4" ySplit="9" topLeftCell="E20" activePane="bottomRight" state="frozen"/>
      <selection pane="topRight" activeCell="E1" sqref="E1"/>
      <selection pane="bottomLeft" activeCell="A11" sqref="A11"/>
      <selection pane="bottomRight" activeCell="V4" sqref="V4"/>
    </sheetView>
  </sheetViews>
  <sheetFormatPr baseColWidth="10" defaultColWidth="16.42578125" defaultRowHeight="12.75"/>
  <cols>
    <col min="1" max="1" width="1.85546875" style="238" customWidth="1"/>
    <col min="2" max="2" width="17" style="238" customWidth="1"/>
    <col min="3" max="3" width="73.28515625" style="238" bestFit="1" customWidth="1"/>
    <col min="4" max="6" width="11.42578125" style="238" customWidth="1"/>
    <col min="7" max="7" width="13.7109375" style="238" customWidth="1"/>
    <col min="8" max="9" width="11.42578125" style="238" customWidth="1"/>
    <col min="10" max="10" width="13.5703125" style="238" customWidth="1"/>
    <col min="11" max="12" width="11.42578125" style="238" customWidth="1"/>
    <col min="13" max="13" width="13.5703125" style="238" customWidth="1"/>
    <col min="14" max="15" width="11.42578125" style="238" customWidth="1"/>
    <col min="16" max="16" width="13.5703125" style="238" customWidth="1"/>
    <col min="17" max="18" width="11.42578125" style="238" customWidth="1"/>
    <col min="19" max="19" width="13.5703125" style="238" customWidth="1"/>
    <col min="20" max="21" width="11.42578125" style="238" customWidth="1"/>
    <col min="22" max="22" width="12.85546875" style="238" customWidth="1"/>
    <col min="23" max="23" width="14.140625" style="238" customWidth="1"/>
    <col min="24" max="24" width="13.28515625" style="238" customWidth="1"/>
    <col min="25" max="25" width="13" style="239" customWidth="1"/>
    <col min="26" max="26" width="10.140625" style="238" customWidth="1"/>
    <col min="27" max="39" width="6.7109375" style="238" customWidth="1"/>
    <col min="40" max="40" width="30.5703125" style="238" hidden="1" customWidth="1"/>
    <col min="41" max="42" width="6.7109375" style="238" hidden="1" customWidth="1"/>
    <col min="43" max="16384" width="16.42578125" style="238"/>
  </cols>
  <sheetData>
    <row r="1" spans="2:40" ht="12.75" customHeight="1">
      <c r="AN1" s="240" t="s">
        <v>276</v>
      </c>
    </row>
    <row r="2" spans="2:40" ht="18.75">
      <c r="B2" s="612" t="s">
        <v>277</v>
      </c>
      <c r="C2" s="612"/>
      <c r="AN2" s="238" t="s">
        <v>278</v>
      </c>
    </row>
    <row r="3" spans="2:40" ht="16.5" thickBot="1">
      <c r="B3" s="613" t="s">
        <v>279</v>
      </c>
      <c r="C3" s="614"/>
      <c r="D3" s="615" t="s">
        <v>280</v>
      </c>
      <c r="E3" s="616"/>
      <c r="F3" s="617"/>
      <c r="H3" s="241"/>
      <c r="AN3" s="238" t="s">
        <v>281</v>
      </c>
    </row>
    <row r="4" spans="2:40" ht="21" thickBot="1">
      <c r="B4" s="618" t="s">
        <v>282</v>
      </c>
      <c r="C4" s="619"/>
      <c r="D4" s="620"/>
      <c r="E4" s="621"/>
      <c r="F4" s="622"/>
      <c r="I4" s="238" t="s">
        <v>283</v>
      </c>
      <c r="V4" s="294" t="s">
        <v>515</v>
      </c>
      <c r="AN4" s="238" t="s">
        <v>284</v>
      </c>
    </row>
    <row r="5" spans="2:40" ht="13.5" thickBot="1">
      <c r="AN5" s="238" t="s">
        <v>285</v>
      </c>
    </row>
    <row r="6" spans="2:40" ht="15.75" thickBot="1">
      <c r="D6" s="609" t="s">
        <v>286</v>
      </c>
      <c r="E6" s="610"/>
      <c r="F6" s="610"/>
      <c r="G6" s="610"/>
      <c r="H6" s="610"/>
      <c r="I6" s="610"/>
      <c r="J6" s="610"/>
      <c r="K6" s="610"/>
      <c r="L6" s="610"/>
      <c r="M6" s="610"/>
      <c r="N6" s="610"/>
      <c r="O6" s="610"/>
      <c r="P6" s="610"/>
      <c r="Q6" s="610"/>
      <c r="R6" s="610"/>
      <c r="S6" s="610"/>
      <c r="T6" s="610"/>
      <c r="U6" s="610"/>
      <c r="V6" s="611"/>
      <c r="AN6" s="238" t="s">
        <v>287</v>
      </c>
    </row>
    <row r="7" spans="2:40" ht="16.5" thickBot="1">
      <c r="B7" s="637" t="s">
        <v>288</v>
      </c>
      <c r="C7" s="637" t="s">
        <v>289</v>
      </c>
      <c r="D7" s="639" t="s">
        <v>290</v>
      </c>
      <c r="E7" s="641" t="s">
        <v>306</v>
      </c>
      <c r="F7" s="642"/>
      <c r="G7" s="643"/>
      <c r="H7" s="644" t="s">
        <v>307</v>
      </c>
      <c r="I7" s="645"/>
      <c r="J7" s="646"/>
      <c r="K7" s="647" t="s">
        <v>308</v>
      </c>
      <c r="L7" s="648"/>
      <c r="M7" s="649"/>
      <c r="N7" s="628" t="s">
        <v>309</v>
      </c>
      <c r="O7" s="629"/>
      <c r="P7" s="630"/>
      <c r="Q7" s="631" t="s">
        <v>310</v>
      </c>
      <c r="R7" s="632"/>
      <c r="S7" s="633"/>
      <c r="T7" s="634" t="s">
        <v>311</v>
      </c>
      <c r="U7" s="635"/>
      <c r="V7" s="636"/>
      <c r="W7" s="623" t="s">
        <v>314</v>
      </c>
      <c r="X7" s="624"/>
      <c r="Y7" s="625"/>
      <c r="AN7" s="238" t="s">
        <v>292</v>
      </c>
    </row>
    <row r="8" spans="2:40" ht="23.25" thickBot="1">
      <c r="B8" s="638"/>
      <c r="C8" s="638"/>
      <c r="D8" s="640"/>
      <c r="E8" s="242" t="s">
        <v>312</v>
      </c>
      <c r="F8" s="243" t="s">
        <v>313</v>
      </c>
      <c r="G8" s="244" t="s">
        <v>293</v>
      </c>
      <c r="H8" s="280" t="s">
        <v>312</v>
      </c>
      <c r="I8" s="281" t="s">
        <v>313</v>
      </c>
      <c r="J8" s="245" t="s">
        <v>293</v>
      </c>
      <c r="K8" s="278" t="s">
        <v>312</v>
      </c>
      <c r="L8" s="279" t="s">
        <v>313</v>
      </c>
      <c r="M8" s="246" t="s">
        <v>293</v>
      </c>
      <c r="N8" s="276" t="s">
        <v>312</v>
      </c>
      <c r="O8" s="277" t="s">
        <v>313</v>
      </c>
      <c r="P8" s="247" t="s">
        <v>293</v>
      </c>
      <c r="Q8" s="274" t="s">
        <v>312</v>
      </c>
      <c r="R8" s="275" t="s">
        <v>313</v>
      </c>
      <c r="S8" s="248" t="s">
        <v>293</v>
      </c>
      <c r="T8" s="272" t="s">
        <v>312</v>
      </c>
      <c r="U8" s="273" t="s">
        <v>313</v>
      </c>
      <c r="V8" s="249" t="s">
        <v>293</v>
      </c>
      <c r="W8" s="270" t="s">
        <v>312</v>
      </c>
      <c r="X8" s="271" t="s">
        <v>313</v>
      </c>
      <c r="Y8" s="250" t="s">
        <v>293</v>
      </c>
      <c r="AN8" s="238" t="s">
        <v>294</v>
      </c>
    </row>
    <row r="9" spans="2:40" ht="15.75">
      <c r="B9" s="251">
        <f>'EOR PV PV 180'!$C$5</f>
        <v>46272</v>
      </c>
      <c r="C9" s="252" t="s">
        <v>335</v>
      </c>
      <c r="D9" s="253" t="str">
        <f>'EOR PV PV 180'!$H$4</f>
        <v>PASA</v>
      </c>
      <c r="E9" s="254">
        <f>'EOR PV PV 180'!$H$6</f>
        <v>31</v>
      </c>
      <c r="F9" s="255">
        <f>'EOR PV PV 180'!$I$6</f>
        <v>31</v>
      </c>
      <c r="G9" s="256">
        <f t="shared" ref="G9:G27" si="0">F9/E9</f>
        <v>1</v>
      </c>
      <c r="H9" s="257">
        <f>'EOR PV PV 180'!$H$7</f>
        <v>18</v>
      </c>
      <c r="I9" s="257">
        <f>'EOR PV PV 180'!$I$7</f>
        <v>18</v>
      </c>
      <c r="J9" s="258">
        <f t="shared" ref="J9:J27" si="1">I9/H9</f>
        <v>1</v>
      </c>
      <c r="K9" s="259">
        <f>'EOR PV PV 180'!$H$8</f>
        <v>31</v>
      </c>
      <c r="L9" s="259">
        <f>'EOR PV PV 180'!$I$8</f>
        <v>31</v>
      </c>
      <c r="M9" s="260">
        <f t="shared" ref="M9:M27" si="2">L9/K9</f>
        <v>1</v>
      </c>
      <c r="N9" s="261">
        <f>'EOR PV PV 180'!$H$9</f>
        <v>19</v>
      </c>
      <c r="O9" s="261">
        <f>'EOR PV PV 180'!$I$9</f>
        <v>19</v>
      </c>
      <c r="P9" s="262">
        <f t="shared" ref="P9:P27" si="3">O9/N9</f>
        <v>1</v>
      </c>
      <c r="Q9" s="263">
        <f>'EOR PV PV 180'!$H$10</f>
        <v>13</v>
      </c>
      <c r="R9" s="263">
        <f>'EOR PV PV 180'!$I$10</f>
        <v>13</v>
      </c>
      <c r="S9" s="264">
        <f t="shared" ref="S9:S27" si="4">R9/Q9</f>
        <v>1</v>
      </c>
      <c r="T9" s="265">
        <f>'EOR PV PV 180'!$H$11</f>
        <v>5</v>
      </c>
      <c r="U9" s="265">
        <f>'EOR PV PV 180'!$I$11</f>
        <v>5</v>
      </c>
      <c r="V9" s="266">
        <f t="shared" ref="V9:V27" si="5">U9/T9</f>
        <v>1</v>
      </c>
      <c r="W9" s="267">
        <f t="shared" ref="W9:W21" si="6">E9+H9+K9+N9+Q9+T9</f>
        <v>117</v>
      </c>
      <c r="X9" s="267">
        <f t="shared" ref="X9:X21" si="7">F9+I9+L9+O9+R9+U9</f>
        <v>117</v>
      </c>
      <c r="Y9" s="268">
        <f t="shared" ref="Y9:Y27" si="8">X9/W9</f>
        <v>1</v>
      </c>
      <c r="AN9" s="238" t="s">
        <v>295</v>
      </c>
    </row>
    <row r="10" spans="2:40" ht="15.75">
      <c r="B10" s="251">
        <f>'EOR PV 106'!$C$5</f>
        <v>46276</v>
      </c>
      <c r="C10" s="252" t="s">
        <v>336</v>
      </c>
      <c r="D10" s="253" t="str">
        <f>'EOR PV 106'!$H$4</f>
        <v>PASA</v>
      </c>
      <c r="E10" s="254">
        <f>'EOR PV 106'!$H$6</f>
        <v>31</v>
      </c>
      <c r="F10" s="255">
        <f>'EOR PV 106'!$I$6</f>
        <v>31</v>
      </c>
      <c r="G10" s="256">
        <f t="shared" si="0"/>
        <v>1</v>
      </c>
      <c r="H10" s="257">
        <f>'EOR PV 106'!$H$7</f>
        <v>18</v>
      </c>
      <c r="I10" s="257">
        <f>'EOR PV 106'!$I$7</f>
        <v>18</v>
      </c>
      <c r="J10" s="258">
        <f t="shared" si="1"/>
        <v>1</v>
      </c>
      <c r="K10" s="259">
        <f>'EOR PV 106'!$H$8</f>
        <v>31</v>
      </c>
      <c r="L10" s="259">
        <f>'EOR PV 106'!$I$8</f>
        <v>31</v>
      </c>
      <c r="M10" s="260">
        <f t="shared" si="2"/>
        <v>1</v>
      </c>
      <c r="N10" s="261">
        <f>'EOR PV 106'!$H$9</f>
        <v>19</v>
      </c>
      <c r="O10" s="261">
        <f>'EOR PV 106'!$I$9</f>
        <v>19</v>
      </c>
      <c r="P10" s="262">
        <f t="shared" si="3"/>
        <v>1</v>
      </c>
      <c r="Q10" s="263">
        <f>'EOR PV 106'!$H$10</f>
        <v>13</v>
      </c>
      <c r="R10" s="263">
        <f>'EOR PV 106'!$I$10</f>
        <v>13</v>
      </c>
      <c r="S10" s="264">
        <f t="shared" si="4"/>
        <v>1</v>
      </c>
      <c r="T10" s="265">
        <f>'EOR PV 106'!$H$11</f>
        <v>5</v>
      </c>
      <c r="U10" s="265">
        <f>'EOR PV 106'!$I$11</f>
        <v>5</v>
      </c>
      <c r="V10" s="266">
        <f t="shared" si="5"/>
        <v>1</v>
      </c>
      <c r="W10" s="267">
        <f t="shared" si="6"/>
        <v>117</v>
      </c>
      <c r="X10" s="267">
        <f t="shared" si="7"/>
        <v>117</v>
      </c>
      <c r="Y10" s="268">
        <f t="shared" si="8"/>
        <v>1</v>
      </c>
    </row>
    <row r="11" spans="2:40" ht="15.75">
      <c r="B11" s="251">
        <f>'EOR PV 257'!$C$5</f>
        <v>46277</v>
      </c>
      <c r="C11" s="252" t="s">
        <v>362</v>
      </c>
      <c r="D11" s="253" t="str">
        <f>'EOR PV 257'!$H$4</f>
        <v>PASA</v>
      </c>
      <c r="E11" s="254">
        <f>'EOR PV 257'!$H$6</f>
        <v>31</v>
      </c>
      <c r="F11" s="255">
        <f>'EOR PV 257'!$I$6</f>
        <v>31</v>
      </c>
      <c r="G11" s="256">
        <f t="shared" si="0"/>
        <v>1</v>
      </c>
      <c r="H11" s="257">
        <f>'EOR PV 257'!$H$7</f>
        <v>18</v>
      </c>
      <c r="I11" s="257">
        <f>'EOR PV 257'!$I$7</f>
        <v>18</v>
      </c>
      <c r="J11" s="258">
        <f t="shared" si="1"/>
        <v>1</v>
      </c>
      <c r="K11" s="259">
        <f>'EOR PV 257'!$H$8</f>
        <v>31</v>
      </c>
      <c r="L11" s="259">
        <f>'EOR PV 257'!$I$8</f>
        <v>31</v>
      </c>
      <c r="M11" s="260">
        <f t="shared" si="2"/>
        <v>1</v>
      </c>
      <c r="N11" s="261">
        <f>'EOR PV 257'!$H$9</f>
        <v>19</v>
      </c>
      <c r="O11" s="261">
        <f>'EOR PV 257'!$I$9</f>
        <v>19</v>
      </c>
      <c r="P11" s="262">
        <f t="shared" si="3"/>
        <v>1</v>
      </c>
      <c r="Q11" s="263">
        <f>'EOR PV 257'!$H$10</f>
        <v>13</v>
      </c>
      <c r="R11" s="263">
        <f>'EOR PV 257'!$I$10</f>
        <v>13</v>
      </c>
      <c r="S11" s="264">
        <f t="shared" si="4"/>
        <v>1</v>
      </c>
      <c r="T11" s="265">
        <f>'EOR PV 257'!$H$11</f>
        <v>5</v>
      </c>
      <c r="U11" s="265">
        <f>'EOR PV 257'!$I$11</f>
        <v>5</v>
      </c>
      <c r="V11" s="266">
        <f t="shared" si="5"/>
        <v>1</v>
      </c>
      <c r="W11" s="267">
        <f t="shared" si="6"/>
        <v>117</v>
      </c>
      <c r="X11" s="267">
        <f t="shared" si="7"/>
        <v>117</v>
      </c>
      <c r="Y11" s="268">
        <f t="shared" si="8"/>
        <v>1</v>
      </c>
      <c r="AN11" s="238" t="s">
        <v>296</v>
      </c>
    </row>
    <row r="12" spans="2:40" ht="15.75">
      <c r="B12" s="251">
        <f>'EOR PV 102'!$C$5</f>
        <v>46273</v>
      </c>
      <c r="C12" s="252" t="s">
        <v>338</v>
      </c>
      <c r="D12" s="253" t="str">
        <f>'EOR PV 102'!$H$4</f>
        <v>PASA</v>
      </c>
      <c r="E12" s="254">
        <f>'EOR PV 102'!$H$6</f>
        <v>31</v>
      </c>
      <c r="F12" s="255">
        <f>'EOR PV 102'!$I$6</f>
        <v>12</v>
      </c>
      <c r="G12" s="256">
        <f t="shared" si="0"/>
        <v>0.38709677419354838</v>
      </c>
      <c r="H12" s="257">
        <f>'EOR PV 102'!$H$7</f>
        <v>18</v>
      </c>
      <c r="I12" s="257">
        <f>'EOR PV 102'!$I$7</f>
        <v>13</v>
      </c>
      <c r="J12" s="258">
        <f t="shared" si="1"/>
        <v>0.72222222222222221</v>
      </c>
      <c r="K12" s="259">
        <f>'EOR PV 102'!$H$8</f>
        <v>31</v>
      </c>
      <c r="L12" s="259">
        <f>'EOR PV 102'!$I$8</f>
        <v>31</v>
      </c>
      <c r="M12" s="260">
        <f t="shared" si="2"/>
        <v>1</v>
      </c>
      <c r="N12" s="261">
        <f>'EOR PV 102'!$H$9</f>
        <v>19</v>
      </c>
      <c r="O12" s="261">
        <f>'EOR PV 102'!$I$9</f>
        <v>18</v>
      </c>
      <c r="P12" s="262">
        <f t="shared" si="3"/>
        <v>0.94736842105263153</v>
      </c>
      <c r="Q12" s="263">
        <f>'EOR PV 102'!$H$10</f>
        <v>13</v>
      </c>
      <c r="R12" s="263">
        <f>'EOR PV 102'!$I$10</f>
        <v>12</v>
      </c>
      <c r="S12" s="264">
        <f t="shared" si="4"/>
        <v>0.92307692307692313</v>
      </c>
      <c r="T12" s="265">
        <f>'EOR PV 102'!$H$11</f>
        <v>5</v>
      </c>
      <c r="U12" s="265">
        <f>'EOR PV 102'!$I$11</f>
        <v>4</v>
      </c>
      <c r="V12" s="266">
        <f t="shared" si="5"/>
        <v>0.8</v>
      </c>
      <c r="W12" s="267">
        <f t="shared" si="6"/>
        <v>117</v>
      </c>
      <c r="X12" s="267">
        <f t="shared" si="7"/>
        <v>90</v>
      </c>
      <c r="Y12" s="268">
        <f t="shared" si="8"/>
        <v>0.76923076923076927</v>
      </c>
      <c r="AN12" s="238" t="s">
        <v>297</v>
      </c>
    </row>
    <row r="13" spans="2:40" ht="15.75">
      <c r="B13" s="251">
        <f>'EOR PV 290'!$C$5</f>
        <v>46274</v>
      </c>
      <c r="C13" s="252" t="s">
        <v>337</v>
      </c>
      <c r="D13" s="253" t="str">
        <f>'EOR PV 290'!$H$4</f>
        <v>PASA</v>
      </c>
      <c r="E13" s="254">
        <f>'EOR PV 290'!$H$6</f>
        <v>31</v>
      </c>
      <c r="F13" s="255">
        <f>'EOR PV 290'!$I$6</f>
        <v>21</v>
      </c>
      <c r="G13" s="256">
        <f t="shared" si="0"/>
        <v>0.67741935483870963</v>
      </c>
      <c r="H13" s="257">
        <f>'EOR PV 290'!$H$7</f>
        <v>18</v>
      </c>
      <c r="I13" s="257">
        <f>'EOR PV 290'!$I$7</f>
        <v>12</v>
      </c>
      <c r="J13" s="258">
        <f t="shared" si="1"/>
        <v>0.66666666666666663</v>
      </c>
      <c r="K13" s="259">
        <f>'EOR PV 290'!$H$8</f>
        <v>31</v>
      </c>
      <c r="L13" s="259">
        <f>'EOR PV 290'!$I$8</f>
        <v>31</v>
      </c>
      <c r="M13" s="260">
        <f t="shared" si="2"/>
        <v>1</v>
      </c>
      <c r="N13" s="261">
        <f>'EOR PV 290'!$H$9</f>
        <v>19</v>
      </c>
      <c r="O13" s="261">
        <f>'EOR PV 290'!$I$9</f>
        <v>18</v>
      </c>
      <c r="P13" s="262">
        <f t="shared" si="3"/>
        <v>0.94736842105263153</v>
      </c>
      <c r="Q13" s="263">
        <f>'EOR PV 290'!$H$10</f>
        <v>13</v>
      </c>
      <c r="R13" s="263">
        <f>'EOR PV 290'!$I$10</f>
        <v>12</v>
      </c>
      <c r="S13" s="264">
        <f t="shared" si="4"/>
        <v>0.92307692307692313</v>
      </c>
      <c r="T13" s="265">
        <f>'EOR PV 290'!$H$11</f>
        <v>5</v>
      </c>
      <c r="U13" s="265">
        <f>'EOR PV 290'!$I$11</f>
        <v>5</v>
      </c>
      <c r="V13" s="266">
        <f t="shared" si="5"/>
        <v>1</v>
      </c>
      <c r="W13" s="267">
        <f t="shared" si="6"/>
        <v>117</v>
      </c>
      <c r="X13" s="267">
        <f t="shared" si="7"/>
        <v>99</v>
      </c>
      <c r="Y13" s="268">
        <f t="shared" si="8"/>
        <v>0.84615384615384615</v>
      </c>
      <c r="AN13" s="238" t="s">
        <v>298</v>
      </c>
    </row>
    <row r="14" spans="2:40" ht="15.75">
      <c r="B14" s="251">
        <f>'EOR PV 276'!$C$5</f>
        <v>46273</v>
      </c>
      <c r="C14" s="252" t="s">
        <v>339</v>
      </c>
      <c r="D14" s="253" t="str">
        <f>'EOR PV 276'!$H$4</f>
        <v>PASA</v>
      </c>
      <c r="E14" s="254">
        <f>'EOR PV 276'!$H$6</f>
        <v>31</v>
      </c>
      <c r="F14" s="255">
        <f>'EOR PV 276'!$I$6</f>
        <v>23</v>
      </c>
      <c r="G14" s="256">
        <f t="shared" si="0"/>
        <v>0.74193548387096775</v>
      </c>
      <c r="H14" s="257">
        <f>'EOR PV 276'!$H$7</f>
        <v>18</v>
      </c>
      <c r="I14" s="257">
        <f>'EOR PV 276'!$I$7</f>
        <v>17</v>
      </c>
      <c r="J14" s="258">
        <f t="shared" si="1"/>
        <v>0.94444444444444442</v>
      </c>
      <c r="K14" s="259">
        <f>'EOR PV 276'!$H$8</f>
        <v>31</v>
      </c>
      <c r="L14" s="259">
        <f>'EOR PV 276'!$I$8</f>
        <v>31</v>
      </c>
      <c r="M14" s="260">
        <f t="shared" si="2"/>
        <v>1</v>
      </c>
      <c r="N14" s="261">
        <f>'EOR PV 276'!$H$9</f>
        <v>19</v>
      </c>
      <c r="O14" s="261">
        <f>'EOR PV 276'!$I$9</f>
        <v>18</v>
      </c>
      <c r="P14" s="262">
        <f t="shared" si="3"/>
        <v>0.94736842105263153</v>
      </c>
      <c r="Q14" s="263">
        <f>'EOR PV 276'!$H$10</f>
        <v>13</v>
      </c>
      <c r="R14" s="263">
        <f>'EOR PV 276'!$I$10</f>
        <v>12</v>
      </c>
      <c r="S14" s="264">
        <f t="shared" si="4"/>
        <v>0.92307692307692313</v>
      </c>
      <c r="T14" s="265">
        <f>'EOR PV 276'!$H$11</f>
        <v>5</v>
      </c>
      <c r="U14" s="265">
        <f>'EOR PV 276'!$I$11</f>
        <v>4</v>
      </c>
      <c r="V14" s="266">
        <f t="shared" si="5"/>
        <v>0.8</v>
      </c>
      <c r="W14" s="267">
        <f t="shared" si="6"/>
        <v>117</v>
      </c>
      <c r="X14" s="267">
        <f t="shared" si="7"/>
        <v>105</v>
      </c>
      <c r="Y14" s="268">
        <f t="shared" si="8"/>
        <v>0.89743589743589747</v>
      </c>
      <c r="AN14" s="238" t="s">
        <v>299</v>
      </c>
    </row>
    <row r="15" spans="2:40" ht="15.75">
      <c r="B15" s="251">
        <f>'EOR PV 244'!$C$5</f>
        <v>46274</v>
      </c>
      <c r="C15" s="252" t="s">
        <v>369</v>
      </c>
      <c r="D15" s="253" t="str">
        <f>'EOR PV 244'!$H$4</f>
        <v>PASA</v>
      </c>
      <c r="E15" s="254">
        <f>'EOR PV 244'!$H$6</f>
        <v>31</v>
      </c>
      <c r="F15" s="255">
        <f>'EOR PV 244'!$I$6</f>
        <v>23</v>
      </c>
      <c r="G15" s="256">
        <f t="shared" si="0"/>
        <v>0.74193548387096775</v>
      </c>
      <c r="H15" s="257">
        <f>'EOR PV 244'!$H$7</f>
        <v>18</v>
      </c>
      <c r="I15" s="257">
        <f>'EOR PV 244'!$I$7</f>
        <v>12</v>
      </c>
      <c r="J15" s="258">
        <f t="shared" si="1"/>
        <v>0.66666666666666663</v>
      </c>
      <c r="K15" s="259">
        <f>'EOR PV 244'!$H$8</f>
        <v>31</v>
      </c>
      <c r="L15" s="259">
        <f>'EOR PV 244'!$I$8</f>
        <v>31</v>
      </c>
      <c r="M15" s="260">
        <f t="shared" si="2"/>
        <v>1</v>
      </c>
      <c r="N15" s="261">
        <f>'EOR PV 244'!$H$9</f>
        <v>19</v>
      </c>
      <c r="O15" s="261">
        <f>'EOR PV 244'!$I$9</f>
        <v>19</v>
      </c>
      <c r="P15" s="262">
        <f t="shared" si="3"/>
        <v>1</v>
      </c>
      <c r="Q15" s="263">
        <f>'EOR PV 244'!$H$10</f>
        <v>13</v>
      </c>
      <c r="R15" s="263">
        <f>'EOR PV 244'!$I$10</f>
        <v>13</v>
      </c>
      <c r="S15" s="264">
        <f t="shared" si="4"/>
        <v>1</v>
      </c>
      <c r="T15" s="265">
        <f>'EOR PV 244'!$H$11</f>
        <v>5</v>
      </c>
      <c r="U15" s="265">
        <f>'EOR PV 244'!$I$11</f>
        <v>5</v>
      </c>
      <c r="V15" s="266">
        <f t="shared" si="5"/>
        <v>1</v>
      </c>
      <c r="W15" s="267">
        <f t="shared" si="6"/>
        <v>117</v>
      </c>
      <c r="X15" s="267">
        <f t="shared" si="7"/>
        <v>103</v>
      </c>
      <c r="Y15" s="268">
        <f t="shared" si="8"/>
        <v>0.88034188034188032</v>
      </c>
      <c r="AN15" s="238" t="s">
        <v>300</v>
      </c>
    </row>
    <row r="16" spans="2:40" ht="15.75">
      <c r="B16" s="251">
        <f>'EOR PV 285'!$C$5</f>
        <v>46274</v>
      </c>
      <c r="C16" s="252" t="s">
        <v>340</v>
      </c>
      <c r="D16" s="253" t="str">
        <f>'EOR PV 285'!$H$4</f>
        <v>PASA</v>
      </c>
      <c r="E16" s="254">
        <f>'EOR PV 285'!$H$6</f>
        <v>31</v>
      </c>
      <c r="F16" s="255">
        <f>'EOR PV 285'!$I$6</f>
        <v>18</v>
      </c>
      <c r="G16" s="256">
        <f t="shared" si="0"/>
        <v>0.58064516129032262</v>
      </c>
      <c r="H16" s="257">
        <f>'EOR PV 285'!$H$7</f>
        <v>18</v>
      </c>
      <c r="I16" s="257">
        <f>'EOR PV 285'!$I$7</f>
        <v>12</v>
      </c>
      <c r="J16" s="258">
        <f t="shared" si="1"/>
        <v>0.66666666666666663</v>
      </c>
      <c r="K16" s="259">
        <f>'EOR PV 285'!$H$8</f>
        <v>31</v>
      </c>
      <c r="L16" s="259">
        <f>'EOR PV 285'!$I$8</f>
        <v>31</v>
      </c>
      <c r="M16" s="260">
        <f t="shared" si="2"/>
        <v>1</v>
      </c>
      <c r="N16" s="261">
        <f>'EOR PV 285'!$H$9</f>
        <v>19</v>
      </c>
      <c r="O16" s="261">
        <f>'EOR PV 285'!$I$9</f>
        <v>18</v>
      </c>
      <c r="P16" s="262">
        <f t="shared" si="3"/>
        <v>0.94736842105263153</v>
      </c>
      <c r="Q16" s="263">
        <f>'EOR PV 285'!$H$10</f>
        <v>13</v>
      </c>
      <c r="R16" s="263">
        <f>'EOR PV 285'!$I$10</f>
        <v>13</v>
      </c>
      <c r="S16" s="264">
        <f t="shared" si="4"/>
        <v>1</v>
      </c>
      <c r="T16" s="265">
        <f>'EOR PV 285'!$H$11</f>
        <v>5</v>
      </c>
      <c r="U16" s="265">
        <f>'EOR PV 285'!$I$11</f>
        <v>5</v>
      </c>
      <c r="V16" s="266">
        <f t="shared" si="5"/>
        <v>1</v>
      </c>
      <c r="W16" s="267">
        <f t="shared" si="6"/>
        <v>117</v>
      </c>
      <c r="X16" s="267">
        <f t="shared" si="7"/>
        <v>97</v>
      </c>
      <c r="Y16" s="268">
        <f t="shared" si="8"/>
        <v>0.82905982905982911</v>
      </c>
      <c r="AN16" s="238" t="s">
        <v>301</v>
      </c>
    </row>
    <row r="17" spans="2:41" ht="15.75">
      <c r="B17" s="251">
        <f>'EOR PV 266'!$C$5</f>
        <v>46273</v>
      </c>
      <c r="C17" s="252" t="s">
        <v>341</v>
      </c>
      <c r="D17" s="253" t="str">
        <f>'EOR PV 266'!$H$4</f>
        <v>PASA</v>
      </c>
      <c r="E17" s="254">
        <f>'EOR PV 266'!$H$6</f>
        <v>31</v>
      </c>
      <c r="F17" s="255">
        <f>'EOR PV 266'!$I$6</f>
        <v>23</v>
      </c>
      <c r="G17" s="256">
        <f t="shared" si="0"/>
        <v>0.74193548387096775</v>
      </c>
      <c r="H17" s="257">
        <f>'EOR PV 266'!$H$7</f>
        <v>18</v>
      </c>
      <c r="I17" s="257">
        <f>'EOR PV 266'!$I$7</f>
        <v>13</v>
      </c>
      <c r="J17" s="258">
        <f t="shared" si="1"/>
        <v>0.72222222222222221</v>
      </c>
      <c r="K17" s="259">
        <f>'EOR PV 266'!$H$8</f>
        <v>31</v>
      </c>
      <c r="L17" s="259">
        <f>'EOR PV 266'!$I$8</f>
        <v>31</v>
      </c>
      <c r="M17" s="260">
        <f t="shared" si="2"/>
        <v>1</v>
      </c>
      <c r="N17" s="261">
        <f>'EOR PV 266'!$H$9</f>
        <v>19</v>
      </c>
      <c r="O17" s="261">
        <f>'EOR PV 266'!$I$9</f>
        <v>18</v>
      </c>
      <c r="P17" s="262">
        <f t="shared" si="3"/>
        <v>0.94736842105263153</v>
      </c>
      <c r="Q17" s="263">
        <f>'EOR PV 266'!$H$10</f>
        <v>13</v>
      </c>
      <c r="R17" s="263">
        <f>'EOR PV 266'!$I$10</f>
        <v>12</v>
      </c>
      <c r="S17" s="264">
        <f t="shared" si="4"/>
        <v>0.92307692307692313</v>
      </c>
      <c r="T17" s="265">
        <f>'EOR PV 266'!$H$11</f>
        <v>5</v>
      </c>
      <c r="U17" s="265">
        <f>'EOR PV 266'!$I$11</f>
        <v>4</v>
      </c>
      <c r="V17" s="266">
        <f t="shared" si="5"/>
        <v>0.8</v>
      </c>
      <c r="W17" s="267">
        <f t="shared" si="6"/>
        <v>117</v>
      </c>
      <c r="X17" s="267">
        <f t="shared" si="7"/>
        <v>101</v>
      </c>
      <c r="Y17" s="268">
        <f t="shared" si="8"/>
        <v>0.86324786324786329</v>
      </c>
      <c r="AN17" s="238" t="s">
        <v>302</v>
      </c>
    </row>
    <row r="18" spans="2:41" ht="15.75">
      <c r="B18" s="251">
        <f>'EOR PV 141'!$C$5</f>
        <v>46277</v>
      </c>
      <c r="C18" s="252" t="s">
        <v>342</v>
      </c>
      <c r="D18" s="253" t="str">
        <f>'EOR PV 141'!$H$4</f>
        <v>PASA</v>
      </c>
      <c r="E18" s="254">
        <f>'EOR PV 141'!$H$6</f>
        <v>31</v>
      </c>
      <c r="F18" s="255">
        <f>'EOR PV 141'!$I$6</f>
        <v>31</v>
      </c>
      <c r="G18" s="256">
        <f t="shared" si="0"/>
        <v>1</v>
      </c>
      <c r="H18" s="257">
        <f>'EOR PV 141'!$H$7</f>
        <v>18</v>
      </c>
      <c r="I18" s="257">
        <f>'EOR PV 141'!$I$7</f>
        <v>18</v>
      </c>
      <c r="J18" s="258">
        <f t="shared" si="1"/>
        <v>1</v>
      </c>
      <c r="K18" s="259">
        <f>'EOR PV 141'!$H$8</f>
        <v>31</v>
      </c>
      <c r="L18" s="259">
        <f>'EOR PV 141'!$I$8</f>
        <v>31</v>
      </c>
      <c r="M18" s="260">
        <f t="shared" si="2"/>
        <v>1</v>
      </c>
      <c r="N18" s="261">
        <f>'EOR PV 141'!$H$9</f>
        <v>19</v>
      </c>
      <c r="O18" s="261">
        <f>'EOR PV 141'!$I$9</f>
        <v>19</v>
      </c>
      <c r="P18" s="262">
        <f t="shared" si="3"/>
        <v>1</v>
      </c>
      <c r="Q18" s="263">
        <f>'EOR PV 141'!$H$10</f>
        <v>13</v>
      </c>
      <c r="R18" s="263">
        <f>'EOR PV 141'!$I$10</f>
        <v>13</v>
      </c>
      <c r="S18" s="264">
        <f t="shared" si="4"/>
        <v>1</v>
      </c>
      <c r="T18" s="265">
        <f>'EOR PV 141'!$H$11</f>
        <v>5</v>
      </c>
      <c r="U18" s="265">
        <f>'EOR PV 141'!$I$11</f>
        <v>5</v>
      </c>
      <c r="V18" s="266">
        <f t="shared" si="5"/>
        <v>1</v>
      </c>
      <c r="W18" s="267">
        <f t="shared" si="6"/>
        <v>117</v>
      </c>
      <c r="X18" s="267">
        <f t="shared" si="7"/>
        <v>117</v>
      </c>
      <c r="Y18" s="268">
        <f t="shared" si="8"/>
        <v>1</v>
      </c>
    </row>
    <row r="19" spans="2:41" ht="15.75">
      <c r="B19" s="251">
        <f>'EOR PV 225'!$C$5</f>
        <v>46272</v>
      </c>
      <c r="C19" s="252" t="s">
        <v>343</v>
      </c>
      <c r="D19" s="253" t="str">
        <f>'EOR PV 225'!$H$4</f>
        <v>PASA</v>
      </c>
      <c r="E19" s="254">
        <f>'EOR PV 225'!$H$6</f>
        <v>31</v>
      </c>
      <c r="F19" s="255">
        <f>'EOR PV 225'!$I$6</f>
        <v>26</v>
      </c>
      <c r="G19" s="256">
        <f t="shared" si="0"/>
        <v>0.83870967741935487</v>
      </c>
      <c r="H19" s="257">
        <f>'EOR PV 225'!$H$7</f>
        <v>18</v>
      </c>
      <c r="I19" s="257">
        <f>'EOR PV 225'!$I$7</f>
        <v>13</v>
      </c>
      <c r="J19" s="258">
        <f t="shared" si="1"/>
        <v>0.72222222222222221</v>
      </c>
      <c r="K19" s="259">
        <f>'EOR PV 225'!$H$8</f>
        <v>31</v>
      </c>
      <c r="L19" s="259">
        <f>'EOR PV 225'!$I$8</f>
        <v>26</v>
      </c>
      <c r="M19" s="260">
        <f t="shared" si="2"/>
        <v>0.83870967741935487</v>
      </c>
      <c r="N19" s="261">
        <f>'EOR PV 225'!$H$9</f>
        <v>19</v>
      </c>
      <c r="O19" s="261">
        <f>'EOR PV 225'!$I$9</f>
        <v>18</v>
      </c>
      <c r="P19" s="262">
        <f t="shared" si="3"/>
        <v>0.94736842105263153</v>
      </c>
      <c r="Q19" s="263">
        <f>'EOR PV 225'!$H$10</f>
        <v>13</v>
      </c>
      <c r="R19" s="263">
        <f>'EOR PV 225'!$I$10</f>
        <v>13</v>
      </c>
      <c r="S19" s="264">
        <f t="shared" si="4"/>
        <v>1</v>
      </c>
      <c r="T19" s="265">
        <f>'EOR PV 225'!$H$11</f>
        <v>5</v>
      </c>
      <c r="U19" s="265">
        <f>'EOR PV 225'!$I$11</f>
        <v>4</v>
      </c>
      <c r="V19" s="266">
        <f t="shared" si="5"/>
        <v>0.8</v>
      </c>
      <c r="W19" s="267">
        <f t="shared" si="6"/>
        <v>117</v>
      </c>
      <c r="X19" s="267">
        <f t="shared" si="7"/>
        <v>100</v>
      </c>
      <c r="Y19" s="268">
        <f t="shared" si="8"/>
        <v>0.85470085470085466</v>
      </c>
      <c r="AN19" s="238" t="s">
        <v>303</v>
      </c>
    </row>
    <row r="20" spans="2:41" ht="15.75">
      <c r="B20" s="251">
        <f>'EOR PV 284'!$C$5</f>
        <v>46272</v>
      </c>
      <c r="C20" s="252" t="s">
        <v>344</v>
      </c>
      <c r="D20" s="253" t="str">
        <f>'EOR PV 284'!$H$4</f>
        <v>PASA</v>
      </c>
      <c r="E20" s="254">
        <f>'EOR PV 284'!$H$6</f>
        <v>31</v>
      </c>
      <c r="F20" s="255">
        <f>'EOR PV 284'!$I$6</f>
        <v>21</v>
      </c>
      <c r="G20" s="256">
        <f t="shared" si="0"/>
        <v>0.67741935483870963</v>
      </c>
      <c r="H20" s="257">
        <f>'EOR PV 284'!$H$7</f>
        <v>18</v>
      </c>
      <c r="I20" s="257">
        <f>'EOR PV 284'!$I$7</f>
        <v>13</v>
      </c>
      <c r="J20" s="258">
        <f t="shared" si="1"/>
        <v>0.72222222222222221</v>
      </c>
      <c r="K20" s="259">
        <f>'EOR PV 284'!$H$8</f>
        <v>31</v>
      </c>
      <c r="L20" s="259">
        <f>'EOR PV 284'!$I$8</f>
        <v>31</v>
      </c>
      <c r="M20" s="260">
        <f t="shared" si="2"/>
        <v>1</v>
      </c>
      <c r="N20" s="261">
        <f>'EOR PV 284'!$H$9</f>
        <v>19</v>
      </c>
      <c r="O20" s="261">
        <f>'EOR PV 284'!$I$9</f>
        <v>13</v>
      </c>
      <c r="P20" s="262">
        <f t="shared" si="3"/>
        <v>0.68421052631578949</v>
      </c>
      <c r="Q20" s="263">
        <f>'EOR PV 284'!$H$10</f>
        <v>13</v>
      </c>
      <c r="R20" s="263">
        <f>'EOR PV 284'!$I$10</f>
        <v>13</v>
      </c>
      <c r="S20" s="264">
        <f t="shared" si="4"/>
        <v>1</v>
      </c>
      <c r="T20" s="265">
        <f>'EOR PV 284'!$H$11</f>
        <v>5</v>
      </c>
      <c r="U20" s="265">
        <f>'EOR PV 284'!$I$11</f>
        <v>4</v>
      </c>
      <c r="V20" s="266">
        <f t="shared" si="5"/>
        <v>0.8</v>
      </c>
      <c r="W20" s="267">
        <f t="shared" si="6"/>
        <v>117</v>
      </c>
      <c r="X20" s="267">
        <f t="shared" si="7"/>
        <v>95</v>
      </c>
      <c r="Y20" s="268">
        <f t="shared" si="8"/>
        <v>0.81196581196581197</v>
      </c>
      <c r="AN20" s="238" t="s">
        <v>304</v>
      </c>
    </row>
    <row r="21" spans="2:41" ht="15.75">
      <c r="B21" s="251">
        <f>'EOR PV 262'!$C$5</f>
        <v>46269</v>
      </c>
      <c r="C21" s="252" t="s">
        <v>345</v>
      </c>
      <c r="D21" s="253" t="str">
        <f>'EOR PV 262'!$H$4</f>
        <v>PASA</v>
      </c>
      <c r="E21" s="254">
        <f>'EOR PV 262'!$H$6</f>
        <v>31</v>
      </c>
      <c r="F21" s="255">
        <f>'EOR PV 262'!$I$6</f>
        <v>21</v>
      </c>
      <c r="G21" s="256">
        <f t="shared" si="0"/>
        <v>0.67741935483870963</v>
      </c>
      <c r="H21" s="257">
        <f>'EOR PV 262'!$H$7</f>
        <v>18</v>
      </c>
      <c r="I21" s="257">
        <f>'EOR PV 262'!$I$7</f>
        <v>18</v>
      </c>
      <c r="J21" s="258">
        <f t="shared" si="1"/>
        <v>1</v>
      </c>
      <c r="K21" s="259">
        <f>'EOR PV 262'!$H$8</f>
        <v>31</v>
      </c>
      <c r="L21" s="259">
        <f>'EOR PV 262'!$I$8</f>
        <v>19</v>
      </c>
      <c r="M21" s="260">
        <f t="shared" si="2"/>
        <v>0.61290322580645162</v>
      </c>
      <c r="N21" s="261">
        <f>'EOR PV 262'!$H$9</f>
        <v>19</v>
      </c>
      <c r="O21" s="261">
        <f>'EOR PV 262'!$I$9</f>
        <v>18</v>
      </c>
      <c r="P21" s="262">
        <f t="shared" si="3"/>
        <v>0.94736842105263153</v>
      </c>
      <c r="Q21" s="263">
        <f>'EOR PV 262'!$H$10</f>
        <v>13</v>
      </c>
      <c r="R21" s="263">
        <f>'EOR PV 262'!$I$10</f>
        <v>13</v>
      </c>
      <c r="S21" s="264">
        <f t="shared" si="4"/>
        <v>1</v>
      </c>
      <c r="T21" s="265">
        <f>'EOR PV 262'!$H$11</f>
        <v>5</v>
      </c>
      <c r="U21" s="265">
        <f>'EOR PV 262'!$I$11</f>
        <v>5</v>
      </c>
      <c r="V21" s="266">
        <f t="shared" si="5"/>
        <v>1</v>
      </c>
      <c r="W21" s="267">
        <f t="shared" si="6"/>
        <v>117</v>
      </c>
      <c r="X21" s="267">
        <f t="shared" si="7"/>
        <v>94</v>
      </c>
      <c r="Y21" s="268">
        <f t="shared" si="8"/>
        <v>0.80341880341880345</v>
      </c>
      <c r="Z21" s="269"/>
      <c r="AN21" s="238" t="s">
        <v>291</v>
      </c>
      <c r="AO21" s="238">
        <v>5</v>
      </c>
    </row>
    <row r="22" spans="2:41" ht="15.75">
      <c r="B22" s="251">
        <f>'EOR PV 283'!$C$5</f>
        <v>46269</v>
      </c>
      <c r="C22" s="252" t="s">
        <v>346</v>
      </c>
      <c r="D22" s="253" t="str">
        <f>'EOR PV 283'!$H$4</f>
        <v>PASA</v>
      </c>
      <c r="E22" s="254">
        <f>'EOR PV 283'!H6</f>
        <v>31</v>
      </c>
      <c r="F22" s="285">
        <f>'EOR PV 283'!I6</f>
        <v>29</v>
      </c>
      <c r="G22" s="256">
        <f t="shared" si="0"/>
        <v>0.93548387096774188</v>
      </c>
      <c r="H22" s="257">
        <f>'EOR PV 283'!H7</f>
        <v>18</v>
      </c>
      <c r="I22" s="286">
        <f>'EOR PV 283'!I7</f>
        <v>13</v>
      </c>
      <c r="J22" s="258">
        <f t="shared" si="1"/>
        <v>0.72222222222222221</v>
      </c>
      <c r="K22" s="259">
        <f>'EOR PV 283'!H8</f>
        <v>31</v>
      </c>
      <c r="L22" s="287">
        <f>'EOR PV 283'!I8</f>
        <v>24</v>
      </c>
      <c r="M22" s="260">
        <f t="shared" si="2"/>
        <v>0.77419354838709675</v>
      </c>
      <c r="N22" s="261">
        <f>'EOR PV 283'!H9</f>
        <v>19</v>
      </c>
      <c r="O22" s="288">
        <f>'EOR PV 283'!I9</f>
        <v>18</v>
      </c>
      <c r="P22" s="262">
        <f t="shared" si="3"/>
        <v>0.94736842105263153</v>
      </c>
      <c r="Q22" s="263">
        <f>'EOR PV 283'!H10</f>
        <v>13</v>
      </c>
      <c r="R22" s="289">
        <f>'EOR PV 283'!I10</f>
        <v>13</v>
      </c>
      <c r="S22" s="264">
        <f t="shared" si="4"/>
        <v>1</v>
      </c>
      <c r="T22" s="265">
        <f>'EOR PV 283'!H11</f>
        <v>5</v>
      </c>
      <c r="U22" s="290">
        <f>'EOR PV 283'!I11</f>
        <v>5</v>
      </c>
      <c r="V22" s="266">
        <f t="shared" si="5"/>
        <v>1</v>
      </c>
      <c r="W22" s="267">
        <f>'EOR PV 283'!H12</f>
        <v>117</v>
      </c>
      <c r="X22" s="291">
        <f>'EOR PV 283'!I12</f>
        <v>102</v>
      </c>
      <c r="Y22" s="268">
        <f t="shared" si="8"/>
        <v>0.87179487179487181</v>
      </c>
      <c r="Z22" s="269"/>
    </row>
    <row r="23" spans="2:41" ht="15.75">
      <c r="B23" s="251">
        <f>'EOR PV 249'!$C$5</f>
        <v>46281</v>
      </c>
      <c r="C23" s="252" t="s">
        <v>347</v>
      </c>
      <c r="D23" s="253" t="str">
        <f>'EOR 226'!$H$4</f>
        <v>PASA</v>
      </c>
      <c r="E23" s="254">
        <f>'EOR 226'!H6</f>
        <v>31</v>
      </c>
      <c r="F23" s="285">
        <f>'EOR 226'!I6</f>
        <v>26</v>
      </c>
      <c r="G23" s="256">
        <f t="shared" si="0"/>
        <v>0.83870967741935487</v>
      </c>
      <c r="H23" s="257">
        <f>'EOR 226'!H7</f>
        <v>18</v>
      </c>
      <c r="I23" s="286">
        <f>'EOR 226'!I7</f>
        <v>13</v>
      </c>
      <c r="J23" s="258">
        <f t="shared" si="1"/>
        <v>0.72222222222222221</v>
      </c>
      <c r="K23" s="259">
        <f>'EOR 226'!H8</f>
        <v>31</v>
      </c>
      <c r="L23" s="287">
        <f>'EOR 226'!I8</f>
        <v>31</v>
      </c>
      <c r="M23" s="260">
        <f t="shared" si="2"/>
        <v>1</v>
      </c>
      <c r="N23" s="261">
        <f>'EOR 226'!H9</f>
        <v>19</v>
      </c>
      <c r="O23" s="288">
        <f>'EOR 226'!I9</f>
        <v>14</v>
      </c>
      <c r="P23" s="262">
        <f t="shared" si="3"/>
        <v>0.73684210526315785</v>
      </c>
      <c r="Q23" s="263">
        <f>'EOR 226'!H10</f>
        <v>13</v>
      </c>
      <c r="R23" s="289">
        <f>'EOR 226'!I10</f>
        <v>13</v>
      </c>
      <c r="S23" s="264">
        <f t="shared" si="4"/>
        <v>1</v>
      </c>
      <c r="T23" s="265">
        <f>'EOR 226'!H11</f>
        <v>5</v>
      </c>
      <c r="U23" s="290">
        <f>'EOR 226'!I11</f>
        <v>5</v>
      </c>
      <c r="V23" s="266">
        <f t="shared" si="5"/>
        <v>1</v>
      </c>
      <c r="W23" s="267">
        <f>'EOR 226'!H12</f>
        <v>117</v>
      </c>
      <c r="X23" s="291">
        <f>'EOR 226'!I12</f>
        <v>102</v>
      </c>
      <c r="Y23" s="268">
        <f t="shared" si="8"/>
        <v>0.87179487179487181</v>
      </c>
      <c r="Z23" s="269"/>
    </row>
    <row r="24" spans="2:41" ht="15.75">
      <c r="B24" s="251">
        <f>'EOR PV 249'!$C$5</f>
        <v>46281</v>
      </c>
      <c r="C24" s="252" t="s">
        <v>348</v>
      </c>
      <c r="D24" s="253" t="str">
        <f>'EOR PV 249'!$H$4</f>
        <v>PASA</v>
      </c>
      <c r="E24" s="254">
        <f>'EOR PV 249'!H6</f>
        <v>31</v>
      </c>
      <c r="F24" s="285">
        <f>'EOR PV 249'!I6</f>
        <v>23</v>
      </c>
      <c r="G24" s="256">
        <f t="shared" si="0"/>
        <v>0.74193548387096775</v>
      </c>
      <c r="H24" s="257">
        <f>'EOR PV 249'!H7</f>
        <v>18</v>
      </c>
      <c r="I24" s="286">
        <f>'EOR PV 249'!I7</f>
        <v>13</v>
      </c>
      <c r="J24" s="258">
        <f t="shared" si="1"/>
        <v>0.72222222222222221</v>
      </c>
      <c r="K24" s="259">
        <f>'EOR PV 249'!H8</f>
        <v>31</v>
      </c>
      <c r="L24" s="287">
        <f>'EOR PV 249'!I8</f>
        <v>31</v>
      </c>
      <c r="M24" s="260">
        <f t="shared" si="2"/>
        <v>1</v>
      </c>
      <c r="N24" s="261">
        <f>'EOR PV 249'!H9</f>
        <v>19</v>
      </c>
      <c r="O24" s="288">
        <f>'EOR PV 249'!I9</f>
        <v>19</v>
      </c>
      <c r="P24" s="262">
        <f t="shared" si="3"/>
        <v>1</v>
      </c>
      <c r="Q24" s="263">
        <f>'EOR PV 249'!H10</f>
        <v>13</v>
      </c>
      <c r="R24" s="289">
        <f>'EOR PV 249'!I10</f>
        <v>13</v>
      </c>
      <c r="S24" s="264">
        <f t="shared" si="4"/>
        <v>1</v>
      </c>
      <c r="T24" s="265">
        <f>'EOR PV 249'!H11</f>
        <v>5</v>
      </c>
      <c r="U24" s="290">
        <f>'EOR PV 249'!I11</f>
        <v>4</v>
      </c>
      <c r="V24" s="266">
        <f t="shared" si="5"/>
        <v>0.8</v>
      </c>
      <c r="W24" s="267">
        <f>'EOR PV 249'!H12</f>
        <v>117</v>
      </c>
      <c r="X24" s="291">
        <f>'EOR PV 249'!I12</f>
        <v>103</v>
      </c>
      <c r="Y24" s="268">
        <f t="shared" si="8"/>
        <v>0.88034188034188032</v>
      </c>
      <c r="Z24" s="269"/>
    </row>
    <row r="25" spans="2:41" ht="15.75">
      <c r="B25" s="251">
        <f>'EOR PV 136'!$C$5</f>
        <v>46281</v>
      </c>
      <c r="C25" s="252" t="s">
        <v>349</v>
      </c>
      <c r="D25" s="253" t="str">
        <f>'EOR PV 136'!$H$4</f>
        <v>PASA</v>
      </c>
      <c r="E25" s="254">
        <f>'EOR PV 136'!H6</f>
        <v>31</v>
      </c>
      <c r="F25" s="285">
        <f>'EOR PV 136'!I6</f>
        <v>30</v>
      </c>
      <c r="G25" s="256">
        <f t="shared" si="0"/>
        <v>0.967741935483871</v>
      </c>
      <c r="H25" s="257">
        <f>'EOR PV 136'!H7</f>
        <v>18</v>
      </c>
      <c r="I25" s="286">
        <f>'EOR PV 136'!I7</f>
        <v>13</v>
      </c>
      <c r="J25" s="258">
        <f t="shared" si="1"/>
        <v>0.72222222222222221</v>
      </c>
      <c r="K25" s="259">
        <f>'EOR PV 136'!H8</f>
        <v>31</v>
      </c>
      <c r="L25" s="287">
        <f>'EOR PV 136'!I8</f>
        <v>31</v>
      </c>
      <c r="M25" s="260">
        <f t="shared" si="2"/>
        <v>1</v>
      </c>
      <c r="N25" s="261">
        <f>'EOR PV 136'!H9</f>
        <v>19</v>
      </c>
      <c r="O25" s="288">
        <f>'EOR PV 136'!I9</f>
        <v>13</v>
      </c>
      <c r="P25" s="262">
        <f t="shared" si="3"/>
        <v>0.68421052631578949</v>
      </c>
      <c r="Q25" s="263">
        <f>'EOR PV 136'!H10</f>
        <v>13</v>
      </c>
      <c r="R25" s="289">
        <f>'EOR PV 136'!I10</f>
        <v>13</v>
      </c>
      <c r="S25" s="264">
        <f t="shared" si="4"/>
        <v>1</v>
      </c>
      <c r="T25" s="265">
        <f>'EOR PV 136'!H11</f>
        <v>5</v>
      </c>
      <c r="U25" s="290">
        <f>'EOR PV 136'!I11</f>
        <v>5</v>
      </c>
      <c r="V25" s="266">
        <f t="shared" si="5"/>
        <v>1</v>
      </c>
      <c r="W25" s="267">
        <f>'EOR PV 136'!H12</f>
        <v>117</v>
      </c>
      <c r="X25" s="291">
        <f>'EOR PV 136'!I12</f>
        <v>105</v>
      </c>
      <c r="Y25" s="268">
        <f t="shared" si="8"/>
        <v>0.89743589743589747</v>
      </c>
      <c r="Z25" s="269"/>
    </row>
    <row r="26" spans="2:41" ht="15.75">
      <c r="B26" s="251">
        <f>'EOR PV295'!$C$5</f>
        <v>46276</v>
      </c>
      <c r="C26" s="252" t="s">
        <v>350</v>
      </c>
      <c r="D26" s="253" t="str">
        <f>'EOR PV 136'!$H$4</f>
        <v>PASA</v>
      </c>
      <c r="E26" s="254">
        <f>'EOR PV295'!H6</f>
        <v>31</v>
      </c>
      <c r="F26" s="254">
        <f>'EOR PV295'!I6</f>
        <v>31</v>
      </c>
      <c r="G26" s="256">
        <f t="shared" si="0"/>
        <v>1</v>
      </c>
      <c r="H26" s="257">
        <f>'EOR PV295'!H7</f>
        <v>18</v>
      </c>
      <c r="I26" s="257">
        <f>'EOR PV295'!I7</f>
        <v>18</v>
      </c>
      <c r="J26" s="258">
        <f t="shared" si="1"/>
        <v>1</v>
      </c>
      <c r="K26" s="259">
        <f>'EOR PV295'!H8</f>
        <v>31</v>
      </c>
      <c r="L26" s="259">
        <f>'EOR PV295'!I8</f>
        <v>31</v>
      </c>
      <c r="M26" s="260">
        <f t="shared" si="2"/>
        <v>1</v>
      </c>
      <c r="N26" s="261">
        <f>'EOR PV295'!H9</f>
        <v>19</v>
      </c>
      <c r="O26" s="261">
        <f>'EOR PV295'!I9</f>
        <v>19</v>
      </c>
      <c r="P26" s="262">
        <f t="shared" si="3"/>
        <v>1</v>
      </c>
      <c r="Q26" s="263">
        <f>'EOR PV295'!H10</f>
        <v>13</v>
      </c>
      <c r="R26" s="263">
        <f>'EOR PV295'!I10</f>
        <v>13</v>
      </c>
      <c r="S26" s="264">
        <f t="shared" si="4"/>
        <v>1</v>
      </c>
      <c r="T26" s="265">
        <f>'EOR PV295'!H11</f>
        <v>5</v>
      </c>
      <c r="U26" s="265">
        <f>'EOR PV295'!I11</f>
        <v>5</v>
      </c>
      <c r="V26" s="266">
        <f t="shared" si="5"/>
        <v>1</v>
      </c>
      <c r="W26" s="267">
        <f>'EOR PV295'!H12</f>
        <v>117</v>
      </c>
      <c r="X26" s="267">
        <f>'EOR PV295'!I12</f>
        <v>117</v>
      </c>
      <c r="Y26" s="268">
        <f t="shared" si="8"/>
        <v>1</v>
      </c>
      <c r="Z26" s="269"/>
    </row>
    <row r="27" spans="2:41" ht="16.5" thickBot="1">
      <c r="B27" s="251">
        <f>'EOR PV 296'!$C$5</f>
        <v>46272</v>
      </c>
      <c r="C27" s="252" t="s">
        <v>351</v>
      </c>
      <c r="D27" s="253" t="str">
        <f>'EOR PV 136'!$H$4</f>
        <v>PASA</v>
      </c>
      <c r="E27" s="254">
        <f>'EOR PV 296'!H6</f>
        <v>31</v>
      </c>
      <c r="F27" s="254">
        <f>'EOR PV 296'!I6</f>
        <v>31</v>
      </c>
      <c r="G27" s="256">
        <f t="shared" si="0"/>
        <v>1</v>
      </c>
      <c r="H27" s="257">
        <f>'EOR PV 296'!H7</f>
        <v>18</v>
      </c>
      <c r="I27" s="257">
        <f>'EOR PV 296'!I7</f>
        <v>18</v>
      </c>
      <c r="J27" s="258">
        <f t="shared" si="1"/>
        <v>1</v>
      </c>
      <c r="K27" s="259">
        <f>'EOR PV 296'!H8</f>
        <v>31</v>
      </c>
      <c r="L27" s="259">
        <f>'EOR PV 296'!I8</f>
        <v>31</v>
      </c>
      <c r="M27" s="260">
        <f t="shared" si="2"/>
        <v>1</v>
      </c>
      <c r="N27" s="261">
        <f>'EOR PV 296'!H9</f>
        <v>19</v>
      </c>
      <c r="O27" s="261">
        <f>'EOR PV 296'!I9</f>
        <v>19</v>
      </c>
      <c r="P27" s="262">
        <f t="shared" si="3"/>
        <v>1</v>
      </c>
      <c r="Q27" s="263">
        <f>'EOR PV 296'!H10</f>
        <v>13</v>
      </c>
      <c r="R27" s="263">
        <f>'EOR PV 296'!I10</f>
        <v>13</v>
      </c>
      <c r="S27" s="264">
        <f t="shared" si="4"/>
        <v>1</v>
      </c>
      <c r="T27" s="265">
        <f>'EOR PV 296'!H11</f>
        <v>5</v>
      </c>
      <c r="U27" s="265">
        <f>'EOR PV 296'!I11</f>
        <v>5</v>
      </c>
      <c r="V27" s="266">
        <f t="shared" si="5"/>
        <v>1</v>
      </c>
      <c r="W27" s="267">
        <f>'EOR PV 296'!H12</f>
        <v>117</v>
      </c>
      <c r="X27" s="267">
        <f>'EOR PV 296'!I12</f>
        <v>117</v>
      </c>
      <c r="Y27" s="268">
        <f t="shared" si="8"/>
        <v>1</v>
      </c>
      <c r="Z27" s="269"/>
    </row>
    <row r="28" spans="2:41" ht="16.5" thickBot="1">
      <c r="B28" s="626" t="s">
        <v>305</v>
      </c>
      <c r="C28" s="627"/>
      <c r="D28" s="282">
        <v>19</v>
      </c>
      <c r="E28" s="282">
        <f>SUM(E9:E27)</f>
        <v>589</v>
      </c>
      <c r="F28" s="292">
        <f>SUM(F9:F27)</f>
        <v>482</v>
      </c>
      <c r="G28" s="283">
        <f t="shared" ref="G28" si="9">F28/E28</f>
        <v>0.8183361629881154</v>
      </c>
      <c r="H28" s="282">
        <f>SUM(H9:H27)</f>
        <v>342</v>
      </c>
      <c r="I28" s="282">
        <f>SUM(I9:I27)</f>
        <v>283</v>
      </c>
      <c r="J28" s="283">
        <f t="shared" ref="J28" si="10">I28/H28</f>
        <v>0.82748538011695905</v>
      </c>
      <c r="K28" s="282">
        <f>SUM(K9:K27)</f>
        <v>589</v>
      </c>
      <c r="L28" s="282">
        <f>SUM(L9:L27)</f>
        <v>565</v>
      </c>
      <c r="M28" s="283">
        <f t="shared" ref="M28" si="11">L28/K28</f>
        <v>0.95925297113752117</v>
      </c>
      <c r="N28" s="282">
        <f>SUM(N9:N27)</f>
        <v>361</v>
      </c>
      <c r="O28" s="282">
        <f>SUM(O9:O27)</f>
        <v>336</v>
      </c>
      <c r="P28" s="283">
        <f t="shared" ref="P28" si="12">O28/N28</f>
        <v>0.93074792243767313</v>
      </c>
      <c r="Q28" s="282">
        <f>SUM(Q9:Q27)</f>
        <v>247</v>
      </c>
      <c r="R28" s="282">
        <f>SUM(R9:R27)</f>
        <v>243</v>
      </c>
      <c r="S28" s="283">
        <f t="shared" ref="S28" si="13">R28/Q28</f>
        <v>0.98380566801619429</v>
      </c>
      <c r="T28" s="282">
        <f>SUM(T9:T27)</f>
        <v>95</v>
      </c>
      <c r="U28" s="282">
        <f>SUM(U9:U27)</f>
        <v>89</v>
      </c>
      <c r="V28" s="283">
        <f t="shared" ref="V28" si="14">U28/T28</f>
        <v>0.93684210526315792</v>
      </c>
      <c r="W28" s="282">
        <f>SUM(W9:W27)</f>
        <v>2223</v>
      </c>
      <c r="X28" s="282">
        <f>SUM(X9:X27)</f>
        <v>1998</v>
      </c>
      <c r="Y28" s="283">
        <f t="shared" ref="Y28" si="15">X28/W28</f>
        <v>0.89878542510121462</v>
      </c>
    </row>
  </sheetData>
  <mergeCells count="17">
    <mergeCell ref="W7:Y7"/>
    <mergeCell ref="B28:C28"/>
    <mergeCell ref="N7:P7"/>
    <mergeCell ref="Q7:S7"/>
    <mergeCell ref="T7:V7"/>
    <mergeCell ref="B7:B8"/>
    <mergeCell ref="C7:C8"/>
    <mergeCell ref="D7:D8"/>
    <mergeCell ref="E7:G7"/>
    <mergeCell ref="H7:J7"/>
    <mergeCell ref="K7:M7"/>
    <mergeCell ref="D6:V6"/>
    <mergeCell ref="B2:C2"/>
    <mergeCell ref="B3:C3"/>
    <mergeCell ref="D3:F3"/>
    <mergeCell ref="B4:C4"/>
    <mergeCell ref="D4:F4"/>
  </mergeCells>
  <phoneticPr fontId="35"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48B596027719447B113DE599BC17060" ma:contentTypeVersion="18" ma:contentTypeDescription="Create a new document." ma:contentTypeScope="" ma:versionID="59daccee987101c20057590424d67467">
  <xsd:schema xmlns:xsd="http://www.w3.org/2001/XMLSchema" xmlns:xs="http://www.w3.org/2001/XMLSchema" xmlns:p="http://schemas.microsoft.com/office/2006/metadata/properties" xmlns:ns2="37bae0bf-db30-46c8-9621-a76407a110e3" xmlns:ns3="084ece9c-fa41-4199-85dd-42c91ec6c709" targetNamespace="http://schemas.microsoft.com/office/2006/metadata/properties" ma:root="true" ma:fieldsID="a24eea87cc935fdec196daf0c7412838" ns2:_="" ns3:_="">
    <xsd:import namespace="37bae0bf-db30-46c8-9621-a76407a110e3"/>
    <xsd:import namespace="084ece9c-fa41-4199-85dd-42c91ec6c709"/>
    <xsd:element name="properties">
      <xsd:complexType>
        <xsd:sequence>
          <xsd:element name="documentManagement">
            <xsd:complexType>
              <xsd:all>
                <xsd:element ref="ns2:MediaServiceMetadata" minOccurs="0"/>
                <xsd:element ref="ns2:MediaServiceFastMetadata" minOccurs="0"/>
                <xsd:element ref="ns2:_Flow_SignoffStatus" minOccurs="0"/>
                <xsd:element ref="ns2:MediaServiceAutoKeyPoints" minOccurs="0"/>
                <xsd:element ref="ns2:MediaServiceKeyPoints" minOccurs="0"/>
                <xsd:element ref="ns2:MediaServiceDateTaken" minOccurs="0"/>
                <xsd:element ref="ns2:MediaServiceAutoTags" minOccurs="0"/>
                <xsd:element ref="ns2:MediaServiceGenerationTime" minOccurs="0"/>
                <xsd:element ref="ns2:MediaServiceEventHashCode" minOccurs="0"/>
                <xsd:element ref="ns2:MediaLengthInSeconds"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bae0bf-db30-46c8-9621-a76407a110e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Flow_SignoffStatus" ma:index="10" nillable="true" ma:displayName="Sign-off status" ma:internalName="Sign_x002d_off_x0020_status">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DateTaken" ma:index="13" nillable="true" ma:displayName="MediaServiceDateTaken" ma:hidden="true" ma:internalName="MediaServiceDateTaken" ma:readOnly="true">
      <xsd:simpleType>
        <xsd:restriction base="dms:Text"/>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7b928058-2a7b-4352-b909-7838aca4475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84ece9c-fa41-4199-85dd-42c91ec6c709" elementFormDefault="qualified">
    <xsd:import namespace="http://schemas.microsoft.com/office/2006/documentManagement/types"/>
    <xsd:import namespace="http://schemas.microsoft.com/office/infopath/2007/PartnerControls"/>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element name="TaxCatchAll" ma:index="24" nillable="true" ma:displayName="Taxonomy Catch All Column" ma:hidden="true" ma:list="{97760497-fbe8-4e67-9147-70d27a7906c8}" ma:internalName="TaxCatchAll" ma:showField="CatchAllData" ma:web="084ece9c-fa41-4199-85dd-42c91ec6c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Flow_SignoffStatus xmlns="37bae0bf-db30-46c8-9621-a76407a110e3" xsi:nil="true"/>
    <lcf76f155ced4ddcb4097134ff3c332f xmlns="37bae0bf-db30-46c8-9621-a76407a110e3">
      <Terms xmlns="http://schemas.microsoft.com/office/infopath/2007/PartnerControls"/>
    </lcf76f155ced4ddcb4097134ff3c332f>
    <TaxCatchAll xmlns="084ece9c-fa41-4199-85dd-42c91ec6c709" xsi:nil="true"/>
  </documentManagement>
</p:properties>
</file>

<file path=customXml/itemProps1.xml><?xml version="1.0" encoding="utf-8"?>
<ds:datastoreItem xmlns:ds="http://schemas.openxmlformats.org/officeDocument/2006/customXml" ds:itemID="{E44C1B0C-073C-4D11-9B87-8693158E0DC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7bae0bf-db30-46c8-9621-a76407a110e3"/>
    <ds:schemaRef ds:uri="084ece9c-fa41-4199-85dd-42c91ec6c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D1C5A15-3FF1-4DB8-B507-EA2D128B86F8}">
  <ds:schemaRefs>
    <ds:schemaRef ds:uri="http://schemas.microsoft.com/sharepoint/v3/contenttype/forms"/>
  </ds:schemaRefs>
</ds:datastoreItem>
</file>

<file path=customXml/itemProps3.xml><?xml version="1.0" encoding="utf-8"?>
<ds:datastoreItem xmlns:ds="http://schemas.openxmlformats.org/officeDocument/2006/customXml" ds:itemID="{F41BD411-9022-483C-BBA6-D7C40CBE390D}">
  <ds:schemaRefs>
    <ds:schemaRef ds:uri="http://schemas.microsoft.com/office/infopath/2007/PartnerControls"/>
    <ds:schemaRef ds:uri="http://purl.org/dc/terms/"/>
    <ds:schemaRef ds:uri="http://purl.org/dc/elements/1.1/"/>
    <ds:schemaRef ds:uri="37bae0bf-db30-46c8-9621-a76407a110e3"/>
    <ds:schemaRef ds:uri="http://schemas.microsoft.com/office/2006/documentManagement/types"/>
    <ds:schemaRef ds:uri="http://www.w3.org/XML/1998/namespace"/>
    <ds:schemaRef ds:uri="http://schemas.openxmlformats.org/package/2006/metadata/core-properties"/>
    <ds:schemaRef ds:uri="084ece9c-fa41-4199-85dd-42c91ec6c709"/>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43</vt:i4>
      </vt:variant>
      <vt:variant>
        <vt:lpstr>Rangos con nombre</vt:lpstr>
      </vt:variant>
      <vt:variant>
        <vt:i4>2</vt:i4>
      </vt:variant>
    </vt:vector>
  </HeadingPairs>
  <TitlesOfParts>
    <vt:vector size="45" baseType="lpstr">
      <vt:lpstr> Revisión de operaciones</vt:lpstr>
      <vt:lpstr> Tanteo</vt:lpstr>
      <vt:lpstr>EOR PV PV 180</vt:lpstr>
      <vt:lpstr>P.A. PV 180</vt:lpstr>
      <vt:lpstr>EOR PV 296</vt:lpstr>
      <vt:lpstr>P.A. PV 296</vt:lpstr>
      <vt:lpstr>EOR PV 106</vt:lpstr>
      <vt:lpstr>P.A. PV 106</vt:lpstr>
      <vt:lpstr>EOR PV295</vt:lpstr>
      <vt:lpstr>P.A. PV295</vt:lpstr>
      <vt:lpstr>EOR PV 257</vt:lpstr>
      <vt:lpstr>P.A. PV 257</vt:lpstr>
      <vt:lpstr>EOR PV 141</vt:lpstr>
      <vt:lpstr>PA. PV 141</vt:lpstr>
      <vt:lpstr>EOR PV 102</vt:lpstr>
      <vt:lpstr>P.A. PV 102</vt:lpstr>
      <vt:lpstr>EOR PV 290</vt:lpstr>
      <vt:lpstr>P.A. PV 290</vt:lpstr>
      <vt:lpstr>EOR PV 276</vt:lpstr>
      <vt:lpstr>P.A. PV 276</vt:lpstr>
      <vt:lpstr>EOR PV 266</vt:lpstr>
      <vt:lpstr>P.A. PV 266</vt:lpstr>
      <vt:lpstr>EOR PV 244</vt:lpstr>
      <vt:lpstr>P.A. PV 244</vt:lpstr>
      <vt:lpstr>EOR PV 285</vt:lpstr>
      <vt:lpstr>P.A. PV 285</vt:lpstr>
      <vt:lpstr>EOR PV 225</vt:lpstr>
      <vt:lpstr>P.A. PV 225</vt:lpstr>
      <vt:lpstr>EOR PV 284</vt:lpstr>
      <vt:lpstr>P.A. PV 284</vt:lpstr>
      <vt:lpstr>EOR PV 262</vt:lpstr>
      <vt:lpstr>P.A. PV 262</vt:lpstr>
      <vt:lpstr>EOR PV 283</vt:lpstr>
      <vt:lpstr>P.A. PV 283 </vt:lpstr>
      <vt:lpstr>EOR 226</vt:lpstr>
      <vt:lpstr>P.A. PV 226</vt:lpstr>
      <vt:lpstr>EOR PV 249</vt:lpstr>
      <vt:lpstr>P.A. PV249</vt:lpstr>
      <vt:lpstr>EOR PV 136</vt:lpstr>
      <vt:lpstr>P.A. PV 136</vt:lpstr>
      <vt:lpstr>EOR PV8</vt:lpstr>
      <vt:lpstr>P.A. PV8</vt:lpstr>
      <vt:lpstr>CONSOLIDADO</vt:lpstr>
      <vt:lpstr>'EOR PV 102'!Área_de_impresión</vt:lpstr>
      <vt:lpstr>'EOR PV PV 180'!Área_de_impresión</vt:lpstr>
    </vt:vector>
  </TitlesOfParts>
  <Company>PC Helps Support, LLC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Lorelei Feldman</dc:creator>
  <cp:lastModifiedBy>CAROLINA ZAMORA CASTILLO</cp:lastModifiedBy>
  <cp:lastPrinted>2025-03-31T22:26:38Z</cp:lastPrinted>
  <dcterms:created xsi:type="dcterms:W3CDTF">2012-03-21T14:16:28Z</dcterms:created>
  <dcterms:modified xsi:type="dcterms:W3CDTF">2026-09-26T22:48:33Z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0x010100948B596027719447B113DE599BC17060</vt:lpwstr>
  </property>
  <property fmtid="{D5CDD505-2E9C-101B-9397-08002B2CF9AE}" pid="3" name="ComplianceAssetId">
    <vt:lpwstr/>
  </property>
  <property fmtid="{D5CDD505-2E9C-101B-9397-08002B2CF9AE}" pid="4" name="Order">
    <vt:r8>11179100</vt:r8>
  </property>
  <property fmtid="{D5CDD505-2E9C-101B-9397-08002B2CF9AE}" pid="5" name="_ExtendedDescription">
    <vt:lpwstr/>
  </property>
  <property fmtid="{D5CDD505-2E9C-101B-9397-08002B2CF9AE}" pid="6" name="TriggerFlowInfo">
    <vt:lpwstr/>
  </property>
</Properties>
</file>