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czamora\Desktop\PLATAFORMA OPERATIVA\"/>
    </mc:Choice>
  </mc:AlternateContent>
  <xr:revisionPtr revIDLastSave="0" documentId="13_ncr:1_{70F88F41-4662-4A63-BFC3-4C83804BDC09}" xr6:coauthVersionLast="47" xr6:coauthVersionMax="47" xr10:uidLastSave="{00000000-0000-0000-0000-000000000000}"/>
  <bookViews>
    <workbookView xWindow="-120" yWindow="-120" windowWidth="20730" windowHeight="11160" tabRatio="839" firstSheet="33" activeTab="42" xr2:uid="{00000000-000D-0000-FFFF-FFFF00000000}"/>
  </bookViews>
  <sheets>
    <sheet name=" Revisión de operaciones" sheetId="1" state="hidden" r:id="rId1"/>
    <sheet name=" Tanteo" sheetId="2" state="hidden" r:id="rId2"/>
    <sheet name="EOR PV PV 180" sheetId="9" r:id="rId3"/>
    <sheet name="P.A. PV 180" sheetId="10" r:id="rId4"/>
    <sheet name="EOR PV 296" sheetId="45" r:id="rId5"/>
    <sheet name="P.A. PV 296" sheetId="46" r:id="rId6"/>
    <sheet name="EOR PV 106" sheetId="11" r:id="rId7"/>
    <sheet name="P.A. PV 106" sheetId="12" r:id="rId8"/>
    <sheet name="EOR PV295" sheetId="43" r:id="rId9"/>
    <sheet name="P.A. PV295" sheetId="44" r:id="rId10"/>
    <sheet name="EOR PV 257" sheetId="13" r:id="rId11"/>
    <sheet name="P.A. PV 257" sheetId="14" r:id="rId12"/>
    <sheet name="EOR PV 141" sheetId="26" r:id="rId13"/>
    <sheet name="PA. PV 141" sheetId="27" r:id="rId14"/>
    <sheet name="EOR PV 102" sheetId="8" r:id="rId15"/>
    <sheet name="P.A. PV 102" sheetId="18" r:id="rId16"/>
    <sheet name="EOR PV 290" sheetId="16" r:id="rId17"/>
    <sheet name="P.A. PV 290" sheetId="15" r:id="rId18"/>
    <sheet name="EOR PV 276" sheetId="19" r:id="rId19"/>
    <sheet name="P.A. PV 276" sheetId="17" r:id="rId20"/>
    <sheet name="EOR PV 266" sheetId="24" r:id="rId21"/>
    <sheet name="P.A. PV 266" sheetId="25" r:id="rId22"/>
    <sheet name="EOR PV 244" sheetId="20" r:id="rId23"/>
    <sheet name="P.A. PV 244" sheetId="21" r:id="rId24"/>
    <sheet name="EOR PV 285" sheetId="22" r:id="rId25"/>
    <sheet name="P.A. PV 285" sheetId="23" r:id="rId26"/>
    <sheet name="EOR PV 225" sheetId="28" r:id="rId27"/>
    <sheet name="P.A. PV 225" sheetId="29" r:id="rId28"/>
    <sheet name="EOR PV 284" sheetId="31" r:id="rId29"/>
    <sheet name="P.A. PV 284" sheetId="32" r:id="rId30"/>
    <sheet name="EOR PV 262" sheetId="33" r:id="rId31"/>
    <sheet name="P.A. PV 262" sheetId="30" r:id="rId32"/>
    <sheet name="EOR PV 283" sheetId="35" r:id="rId33"/>
    <sheet name="P.A. PV 283 " sheetId="36" r:id="rId34"/>
    <sheet name="EOR 226" sheetId="37" r:id="rId35"/>
    <sheet name="P.A. PV 226" sheetId="38" r:id="rId36"/>
    <sheet name="EOR PV 249" sheetId="39" r:id="rId37"/>
    <sheet name="P.A. PV249" sheetId="40" r:id="rId38"/>
    <sheet name="EOR PV 136" sheetId="41" r:id="rId39"/>
    <sheet name="P.A. PV 136" sheetId="42" r:id="rId40"/>
    <sheet name="EOR PV8" sheetId="47" r:id="rId41"/>
    <sheet name="P.A. PV8" sheetId="48" r:id="rId42"/>
    <sheet name="CONSOLIDADO" sheetId="34" r:id="rId43"/>
  </sheets>
  <externalReferences>
    <externalReference r:id="rId44"/>
    <externalReference r:id="rId45"/>
  </externalReferences>
  <definedNames>
    <definedName name="_xlnm._FilterDatabase" localSheetId="14" hidden="1">'[1]One Inspire'!$B$15:$G$52</definedName>
    <definedName name="_xlnm._FilterDatabase" localSheetId="2" hidden="1">'[1]One Inspire'!$B$15:$G$52</definedName>
    <definedName name="_xlnm.Print_Area" localSheetId="0">'[2]Operations Review'!$A$1:$K$125</definedName>
    <definedName name="_xlnm.Print_Area" localSheetId="14">'EOR PV 102'!$A$1:$K$55</definedName>
    <definedName name="_xlnm.Print_Area" localSheetId="2">'EOR PV PV 180'!$A$1:$K$55</definedName>
    <definedName name="CrewGuestSvcPerc">'[2]Operations Review'!$G$117:$H$117</definedName>
    <definedName name="Date">'[2]Operations Review'!$C$2</definedName>
    <definedName name="EffMerchPerc">'[2]Operations Review'!$G$121:$H$121</definedName>
    <definedName name="FoodSafetyPerc">'[2]Operations Review'!$G$115:$H$115</definedName>
    <definedName name="IHRPercPerNum">20</definedName>
    <definedName name="Info" localSheetId="34">'[2]Operations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Info" localSheetId="38">'[2]Operations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Info" localSheetId="36">'[2]Operations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Info" localSheetId="32">'[2]Operations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Info" localSheetId="4">'[2]Operations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Info" localSheetId="8">'[2]Operations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Info" localSheetId="40">'[2]Operations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Info" localSheetId="39">'[2]Operations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Info" localSheetId="35">'[2]Operations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Info" localSheetId="33">'[2]Operations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Info" localSheetId="5">'[2]Operations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Info" localSheetId="37">'[2]Operations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Info" localSheetId="9">'[2]Operations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Info" localSheetId="41">'[2]Operations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Info">'[2]Operations Review'!$C$1:$C$5,'[2]Operations Review'!$H$10:$H$18,'[2]Operations Review'!$H$20:$H$24,'[2]Operations Review'!$H$26:$H$33,'[2]Operations Review'!$H$35:$H$38,'[2]Operations Review'!$H$40:$H$42,'[2]Operations Review'!#REF!,'[2]Operations Review'!$H$45:$H$54,'[2]Operations Review'!$H$56:$H$62,'[2]Operations Review'!$H$64:$H$68,'[2]Operations Review'!$H$70:$H$73,'[2]Operations Review'!$H$75:$H$81,'[2]Operations Review'!$H$83:$H$87,'[2]Operations Review'!$H$89:$H$96,'[2]Operations Review'!$H$98:$H$104</definedName>
    <definedName name="Location">'[2]Operations Review'!$C$1</definedName>
    <definedName name="PCNum">'[2]Operations Review'!$C$4</definedName>
    <definedName name="ProdQualPerc">'[2]Operations Review'!$G$120:$H$120</definedName>
    <definedName name="PtsAvail">'[2]Operations Review'!$D$123</definedName>
    <definedName name="PtsAward">'[2]Operations Review'!$E$123:$F$123</definedName>
    <definedName name="RstCleanPerc">'[2]Operations Review'!$G$116:$H$116</definedName>
    <definedName name="StoreExpPerc">'[2]Operations Review'!$G$118:$H$118</definedName>
    <definedName name="Time">'[2]Operations Review'!$C$3</definedName>
    <definedName name="TotalPerc">'[2]Operations Review'!$G$123:$H$123</definedName>
  </definedNames>
  <calcPr calcId="181029"/>
</workbook>
</file>

<file path=xl/calcChain.xml><?xml version="1.0" encoding="utf-8"?>
<calcChain xmlns="http://schemas.openxmlformats.org/spreadsheetml/2006/main">
  <c r="W26" i="34" l="1"/>
  <c r="W27" i="34"/>
  <c r="T27" i="34"/>
  <c r="T26" i="34"/>
  <c r="Q27" i="34"/>
  <c r="Q26" i="34"/>
  <c r="N27" i="34"/>
  <c r="N26" i="34"/>
  <c r="H27" i="34"/>
  <c r="H26" i="34"/>
  <c r="E27" i="34"/>
  <c r="E26" i="34"/>
  <c r="K27" i="34"/>
  <c r="K26" i="34"/>
  <c r="B27" i="34"/>
  <c r="B26" i="34"/>
  <c r="D26" i="34"/>
  <c r="D27" i="34"/>
  <c r="B22" i="34"/>
  <c r="B23" i="34"/>
  <c r="B24" i="34"/>
  <c r="B25" i="34"/>
  <c r="B14" i="34"/>
  <c r="B9" i="34" l="1"/>
  <c r="B10" i="34"/>
  <c r="B11" i="34"/>
  <c r="B12" i="34"/>
  <c r="B13" i="34"/>
  <c r="B15" i="34"/>
  <c r="B16" i="34"/>
  <c r="B17" i="34"/>
  <c r="B18" i="34"/>
  <c r="B19" i="34"/>
  <c r="B20" i="34"/>
  <c r="B21" i="34"/>
  <c r="F53" i="47"/>
  <c r="F52" i="47"/>
  <c r="F51" i="47"/>
  <c r="F50" i="47"/>
  <c r="I11" i="47" s="1"/>
  <c r="J11" i="47" s="1"/>
  <c r="F49" i="47"/>
  <c r="F48" i="47"/>
  <c r="F47" i="47"/>
  <c r="F46" i="47"/>
  <c r="I10" i="47" s="1"/>
  <c r="J10" i="47" s="1"/>
  <c r="F45" i="47"/>
  <c r="F44" i="47"/>
  <c r="F43" i="47"/>
  <c r="F42" i="47"/>
  <c r="I9" i="47" s="1"/>
  <c r="J9" i="47" s="1"/>
  <c r="F41" i="47"/>
  <c r="F40" i="47"/>
  <c r="F39" i="47"/>
  <c r="F38" i="47"/>
  <c r="I8" i="47" s="1"/>
  <c r="J8" i="47" s="1"/>
  <c r="F37" i="47"/>
  <c r="F36" i="47"/>
  <c r="F35" i="47"/>
  <c r="F34" i="47"/>
  <c r="F33" i="47"/>
  <c r="F32" i="47"/>
  <c r="F31" i="47"/>
  <c r="F30" i="47"/>
  <c r="F29" i="47"/>
  <c r="F28" i="47"/>
  <c r="F27" i="47"/>
  <c r="F26" i="47"/>
  <c r="I6" i="47" s="1"/>
  <c r="F25" i="47"/>
  <c r="AY23" i="47"/>
  <c r="AY22" i="47"/>
  <c r="AY20" i="47"/>
  <c r="AY19" i="47"/>
  <c r="AY18" i="47"/>
  <c r="AY17" i="47"/>
  <c r="H12" i="47"/>
  <c r="BB7" i="47"/>
  <c r="BB6" i="47"/>
  <c r="H4" i="47" s="1"/>
  <c r="BB4" i="47"/>
  <c r="F53" i="45"/>
  <c r="F52" i="45"/>
  <c r="F51" i="45"/>
  <c r="F50" i="45"/>
  <c r="F49" i="45"/>
  <c r="F48" i="45"/>
  <c r="F47" i="45"/>
  <c r="F46" i="45"/>
  <c r="F45" i="45"/>
  <c r="F44" i="45"/>
  <c r="F43" i="45"/>
  <c r="F42" i="45"/>
  <c r="F41" i="45"/>
  <c r="F40" i="45"/>
  <c r="F39" i="45"/>
  <c r="F38" i="45"/>
  <c r="F37" i="45"/>
  <c r="F36" i="45"/>
  <c r="F35" i="45"/>
  <c r="F34" i="45"/>
  <c r="F33" i="45"/>
  <c r="F32" i="45"/>
  <c r="F31" i="45"/>
  <c r="F30" i="45"/>
  <c r="F29" i="45"/>
  <c r="F28" i="45"/>
  <c r="F27" i="45"/>
  <c r="F26" i="45"/>
  <c r="F25" i="45"/>
  <c r="AY23" i="45"/>
  <c r="AY22" i="45"/>
  <c r="AY20" i="45"/>
  <c r="AY19" i="45"/>
  <c r="BB19" i="45" s="1"/>
  <c r="AY18" i="45"/>
  <c r="AY17" i="45"/>
  <c r="H12" i="45"/>
  <c r="BB7" i="45"/>
  <c r="BB6" i="45"/>
  <c r="H4" i="45" s="1"/>
  <c r="BB4" i="45"/>
  <c r="F53" i="43"/>
  <c r="F52" i="43"/>
  <c r="F51" i="43"/>
  <c r="F50" i="43"/>
  <c r="F49" i="43"/>
  <c r="F48" i="43"/>
  <c r="F47" i="43"/>
  <c r="F46" i="43"/>
  <c r="F45" i="43"/>
  <c r="F44" i="43"/>
  <c r="F43" i="43"/>
  <c r="F42" i="43"/>
  <c r="F41" i="43"/>
  <c r="F40" i="43"/>
  <c r="F39" i="43"/>
  <c r="F38" i="43"/>
  <c r="F37" i="43"/>
  <c r="F36" i="43"/>
  <c r="F35" i="43"/>
  <c r="F34" i="43"/>
  <c r="F33" i="43"/>
  <c r="F32" i="43"/>
  <c r="F31" i="43"/>
  <c r="F30" i="43"/>
  <c r="F29" i="43"/>
  <c r="F28" i="43"/>
  <c r="F27" i="43"/>
  <c r="F26" i="43"/>
  <c r="F25" i="43"/>
  <c r="AY23" i="43"/>
  <c r="AY22" i="43"/>
  <c r="AY20" i="43"/>
  <c r="AY19" i="43"/>
  <c r="AY18" i="43"/>
  <c r="BB17" i="43"/>
  <c r="AY17" i="43"/>
  <c r="H12" i="43"/>
  <c r="BB7" i="43"/>
  <c r="BB6" i="43"/>
  <c r="BB4" i="43"/>
  <c r="H4" i="43"/>
  <c r="T25" i="34"/>
  <c r="Q25" i="34"/>
  <c r="N25" i="34"/>
  <c r="K25" i="34"/>
  <c r="H25" i="34"/>
  <c r="E25" i="34"/>
  <c r="F53" i="41"/>
  <c r="F52" i="41"/>
  <c r="F51" i="41"/>
  <c r="F50" i="41"/>
  <c r="F49" i="41"/>
  <c r="F48" i="41"/>
  <c r="F47" i="41"/>
  <c r="F46" i="41"/>
  <c r="F45" i="41"/>
  <c r="F44" i="41"/>
  <c r="F43" i="41"/>
  <c r="F42" i="41"/>
  <c r="F41" i="41"/>
  <c r="F40" i="41"/>
  <c r="F39" i="41"/>
  <c r="F38" i="41"/>
  <c r="F37" i="41"/>
  <c r="I8" i="41" s="1"/>
  <c r="F36" i="41"/>
  <c r="F35" i="41"/>
  <c r="F34" i="41"/>
  <c r="F33" i="41"/>
  <c r="F32" i="41"/>
  <c r="F31" i="41"/>
  <c r="F30" i="41"/>
  <c r="F29" i="41"/>
  <c r="F28" i="41"/>
  <c r="F27" i="41"/>
  <c r="F26" i="41"/>
  <c r="F25" i="41"/>
  <c r="AY23" i="41"/>
  <c r="AY22" i="41"/>
  <c r="AY20" i="41"/>
  <c r="AY19" i="41"/>
  <c r="AY18" i="41"/>
  <c r="AY17" i="41"/>
  <c r="BB17" i="41" s="1"/>
  <c r="H12" i="41"/>
  <c r="W25" i="34" s="1"/>
  <c r="BB7" i="41"/>
  <c r="BB6" i="41"/>
  <c r="BB4" i="41"/>
  <c r="H4" i="41"/>
  <c r="D25" i="34" s="1"/>
  <c r="T24" i="34"/>
  <c r="Q24" i="34"/>
  <c r="N24" i="34"/>
  <c r="K24" i="34"/>
  <c r="H24" i="34"/>
  <c r="E24" i="34"/>
  <c r="F53" i="39"/>
  <c r="F52" i="39"/>
  <c r="F51" i="39"/>
  <c r="F50" i="39"/>
  <c r="F49" i="39"/>
  <c r="F48" i="39"/>
  <c r="F47" i="39"/>
  <c r="F46" i="39"/>
  <c r="F45" i="39"/>
  <c r="F44" i="39"/>
  <c r="F43" i="39"/>
  <c r="F42" i="39"/>
  <c r="F41" i="39"/>
  <c r="F40" i="39"/>
  <c r="F39" i="39"/>
  <c r="F38" i="39"/>
  <c r="F37" i="39"/>
  <c r="F36" i="39"/>
  <c r="I8" i="39" s="1"/>
  <c r="J8" i="39" s="1"/>
  <c r="F35" i="39"/>
  <c r="F34" i="39"/>
  <c r="F33" i="39"/>
  <c r="F32" i="39"/>
  <c r="F31" i="39"/>
  <c r="F30" i="39"/>
  <c r="F29" i="39"/>
  <c r="F28" i="39"/>
  <c r="F27" i="39"/>
  <c r="F26" i="39"/>
  <c r="F25" i="39"/>
  <c r="AY23" i="39"/>
  <c r="AY22" i="39"/>
  <c r="AY20" i="39"/>
  <c r="AY19" i="39"/>
  <c r="AY18" i="39"/>
  <c r="BB18" i="39" s="1"/>
  <c r="AY17" i="39"/>
  <c r="BB17" i="39" s="1"/>
  <c r="H12" i="39"/>
  <c r="W24" i="34" s="1"/>
  <c r="BB7" i="39"/>
  <c r="BB6" i="39"/>
  <c r="BB4" i="39"/>
  <c r="H4" i="39"/>
  <c r="D24" i="34" s="1"/>
  <c r="T23" i="34"/>
  <c r="Q23" i="34"/>
  <c r="N23" i="34"/>
  <c r="K23" i="34"/>
  <c r="H23" i="34"/>
  <c r="E23" i="34"/>
  <c r="T22" i="34"/>
  <c r="Q22" i="34"/>
  <c r="N22" i="34"/>
  <c r="K22" i="34"/>
  <c r="H22" i="34"/>
  <c r="D22" i="34"/>
  <c r="E22" i="34"/>
  <c r="F53" i="37"/>
  <c r="F52" i="37"/>
  <c r="F51" i="37"/>
  <c r="F50" i="37"/>
  <c r="F49" i="37"/>
  <c r="F48" i="37"/>
  <c r="F47" i="37"/>
  <c r="F46" i="37"/>
  <c r="F45" i="37"/>
  <c r="F44" i="37"/>
  <c r="F43" i="37"/>
  <c r="F42" i="37"/>
  <c r="F41" i="37"/>
  <c r="F40" i="37"/>
  <c r="F39" i="37"/>
  <c r="F38" i="37"/>
  <c r="F37" i="37"/>
  <c r="F36" i="37"/>
  <c r="F35" i="37"/>
  <c r="F34" i="37"/>
  <c r="F33" i="37"/>
  <c r="F32" i="37"/>
  <c r="F31" i="37"/>
  <c r="F30" i="37"/>
  <c r="F29" i="37"/>
  <c r="F28" i="37"/>
  <c r="F27" i="37"/>
  <c r="F26" i="37"/>
  <c r="F25" i="37"/>
  <c r="AY23" i="37"/>
  <c r="AY22" i="37"/>
  <c r="AY20" i="37"/>
  <c r="AY19" i="37"/>
  <c r="AY18" i="37"/>
  <c r="BB19" i="37" s="1"/>
  <c r="AY17" i="37"/>
  <c r="H12" i="37"/>
  <c r="W23" i="34" s="1"/>
  <c r="I8" i="37"/>
  <c r="J8" i="37" s="1"/>
  <c r="BB7" i="37"/>
  <c r="BB6" i="37"/>
  <c r="H4" i="37" s="1"/>
  <c r="D23" i="34" s="1"/>
  <c r="BB4" i="37"/>
  <c r="F53" i="35"/>
  <c r="F52" i="35"/>
  <c r="F51" i="35"/>
  <c r="F50" i="35"/>
  <c r="F49" i="35"/>
  <c r="F48" i="35"/>
  <c r="F47" i="35"/>
  <c r="F46" i="35"/>
  <c r="F45" i="35"/>
  <c r="F44" i="35"/>
  <c r="F43" i="35"/>
  <c r="F42" i="35"/>
  <c r="F41" i="35"/>
  <c r="F40" i="35"/>
  <c r="F39" i="35"/>
  <c r="F38" i="35"/>
  <c r="F37" i="35"/>
  <c r="F36" i="35"/>
  <c r="F35" i="35"/>
  <c r="F34" i="35"/>
  <c r="F33" i="35"/>
  <c r="F32" i="35"/>
  <c r="F31" i="35"/>
  <c r="F30" i="35"/>
  <c r="F29" i="35"/>
  <c r="F28" i="35"/>
  <c r="F27" i="35"/>
  <c r="F26" i="35"/>
  <c r="F25" i="35"/>
  <c r="AY23" i="35"/>
  <c r="AY22" i="35"/>
  <c r="AY20" i="35"/>
  <c r="AY19" i="35"/>
  <c r="BB18" i="35"/>
  <c r="AY18" i="35"/>
  <c r="AY17" i="35"/>
  <c r="BB19" i="35" s="1"/>
  <c r="H12" i="35"/>
  <c r="W22" i="34" s="1"/>
  <c r="BB7" i="35"/>
  <c r="BB6" i="35"/>
  <c r="H4" i="35" s="1"/>
  <c r="BB4" i="35"/>
  <c r="I8" i="43" l="1"/>
  <c r="L26" i="34" s="1"/>
  <c r="M26" i="34" s="1"/>
  <c r="I7" i="43"/>
  <c r="I26" i="34" s="1"/>
  <c r="J26" i="34" s="1"/>
  <c r="I7" i="41"/>
  <c r="J7" i="41" s="1"/>
  <c r="I6" i="35"/>
  <c r="J6" i="35" s="1"/>
  <c r="I11" i="35"/>
  <c r="J11" i="35" s="1"/>
  <c r="I9" i="41"/>
  <c r="J9" i="41" s="1"/>
  <c r="I11" i="41"/>
  <c r="J11" i="41" s="1"/>
  <c r="I10" i="41"/>
  <c r="J10" i="41" s="1"/>
  <c r="I6" i="41"/>
  <c r="F25" i="34" s="1"/>
  <c r="G25" i="34" s="1"/>
  <c r="I11" i="37"/>
  <c r="J11" i="37" s="1"/>
  <c r="I7" i="37"/>
  <c r="I23" i="34" s="1"/>
  <c r="J23" i="34" s="1"/>
  <c r="I9" i="35"/>
  <c r="J9" i="35" s="1"/>
  <c r="I7" i="35"/>
  <c r="J7" i="35" s="1"/>
  <c r="J7" i="43"/>
  <c r="J8" i="43"/>
  <c r="J8" i="41"/>
  <c r="L25" i="34"/>
  <c r="I9" i="37"/>
  <c r="I6" i="39"/>
  <c r="F24" i="34" s="1"/>
  <c r="G24" i="34" s="1"/>
  <c r="I9" i="39"/>
  <c r="I11" i="39"/>
  <c r="BB18" i="43"/>
  <c r="BB17" i="35"/>
  <c r="I8" i="35"/>
  <c r="I6" i="43"/>
  <c r="F26" i="34" s="1"/>
  <c r="G26" i="34" s="1"/>
  <c r="I9" i="43"/>
  <c r="O26" i="34" s="1"/>
  <c r="P26" i="34" s="1"/>
  <c r="I11" i="43"/>
  <c r="U26" i="34" s="1"/>
  <c r="BB19" i="47"/>
  <c r="L24" i="34"/>
  <c r="M24" i="34" s="1"/>
  <c r="I6" i="37"/>
  <c r="F23" i="34" s="1"/>
  <c r="G23" i="34" s="1"/>
  <c r="I7" i="39"/>
  <c r="I6" i="45"/>
  <c r="I8" i="45"/>
  <c r="I9" i="45"/>
  <c r="I11" i="45"/>
  <c r="I10" i="37"/>
  <c r="I10" i="39"/>
  <c r="I7" i="45"/>
  <c r="I10" i="45"/>
  <c r="I10" i="35"/>
  <c r="L23" i="34"/>
  <c r="M23" i="34" s="1"/>
  <c r="BB18" i="41"/>
  <c r="I10" i="43"/>
  <c r="R26" i="34" s="1"/>
  <c r="S26" i="34" s="1"/>
  <c r="BB18" i="45"/>
  <c r="I7" i="47"/>
  <c r="J7" i="47" s="1"/>
  <c r="J6" i="47"/>
  <c r="BB17" i="47"/>
  <c r="BB18" i="47"/>
  <c r="BB17" i="45"/>
  <c r="BB19" i="43"/>
  <c r="M25" i="34"/>
  <c r="BB19" i="41"/>
  <c r="BB19" i="39"/>
  <c r="BB17" i="37"/>
  <c r="BB18" i="37"/>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E9" i="34"/>
  <c r="H9" i="34"/>
  <c r="K9" i="34"/>
  <c r="N9" i="34"/>
  <c r="Q9" i="34"/>
  <c r="T9" i="34"/>
  <c r="F25" i="11"/>
  <c r="F26" i="11"/>
  <c r="F27" i="11"/>
  <c r="F28" i="11"/>
  <c r="F29" i="11"/>
  <c r="F30" i="11"/>
  <c r="F31" i="11"/>
  <c r="F32" i="11"/>
  <c r="F33" i="11"/>
  <c r="F34" i="11"/>
  <c r="F35" i="11"/>
  <c r="F36" i="11"/>
  <c r="F37" i="11"/>
  <c r="F38" i="11"/>
  <c r="F39" i="11"/>
  <c r="F40" i="11"/>
  <c r="I8" i="11" s="1"/>
  <c r="F41" i="11"/>
  <c r="F42" i="11"/>
  <c r="F43" i="11"/>
  <c r="F44" i="11"/>
  <c r="F45" i="11"/>
  <c r="F46" i="11"/>
  <c r="F47" i="11"/>
  <c r="F48" i="11"/>
  <c r="F49" i="11"/>
  <c r="F50" i="11"/>
  <c r="F51" i="11"/>
  <c r="F52" i="11"/>
  <c r="F53" i="11"/>
  <c r="E10" i="34"/>
  <c r="H10" i="34"/>
  <c r="K10" i="34"/>
  <c r="N10" i="34"/>
  <c r="Q10" i="34"/>
  <c r="T10" i="34"/>
  <c r="F25" i="13"/>
  <c r="F26" i="13"/>
  <c r="F27" i="13"/>
  <c r="F28" i="13"/>
  <c r="F29" i="13"/>
  <c r="F30" i="13"/>
  <c r="F31" i="13"/>
  <c r="F32" i="13"/>
  <c r="F33" i="13"/>
  <c r="F34" i="13"/>
  <c r="F35" i="13"/>
  <c r="F36" i="13"/>
  <c r="F37" i="13"/>
  <c r="F38" i="13"/>
  <c r="F39" i="13"/>
  <c r="F40" i="13"/>
  <c r="F41" i="13"/>
  <c r="F42" i="13"/>
  <c r="F43" i="13"/>
  <c r="F44" i="13"/>
  <c r="F45" i="13"/>
  <c r="F46" i="13"/>
  <c r="F47" i="13"/>
  <c r="F48" i="13"/>
  <c r="F49" i="13"/>
  <c r="F50" i="13"/>
  <c r="F51" i="13"/>
  <c r="F52" i="13"/>
  <c r="F53" i="13"/>
  <c r="E11" i="34"/>
  <c r="H11" i="34"/>
  <c r="K11" i="34"/>
  <c r="N11" i="34"/>
  <c r="Q11" i="34"/>
  <c r="T11" i="34"/>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E12" i="34"/>
  <c r="H12" i="34"/>
  <c r="K12" i="34"/>
  <c r="N12" i="34"/>
  <c r="Q12" i="34"/>
  <c r="T12" i="34"/>
  <c r="F25" i="16"/>
  <c r="F26" i="16"/>
  <c r="F27" i="16"/>
  <c r="F28" i="16"/>
  <c r="F29" i="16"/>
  <c r="F30" i="16"/>
  <c r="F31" i="16"/>
  <c r="F32" i="16"/>
  <c r="F33" i="16"/>
  <c r="F34" i="16"/>
  <c r="F35" i="16"/>
  <c r="F36" i="16"/>
  <c r="F37" i="16"/>
  <c r="F38" i="16"/>
  <c r="F39" i="16"/>
  <c r="F40" i="16"/>
  <c r="F41" i="16"/>
  <c r="F42" i="16"/>
  <c r="F43" i="16"/>
  <c r="F44" i="16"/>
  <c r="F45" i="16"/>
  <c r="F46" i="16"/>
  <c r="F47" i="16"/>
  <c r="F48" i="16"/>
  <c r="F49" i="16"/>
  <c r="F50" i="16"/>
  <c r="F51" i="16"/>
  <c r="F52" i="16"/>
  <c r="F53" i="16"/>
  <c r="E13" i="34"/>
  <c r="H13" i="34"/>
  <c r="K13" i="34"/>
  <c r="N13" i="34"/>
  <c r="Q13" i="34"/>
  <c r="T13" i="34"/>
  <c r="F25" i="19"/>
  <c r="F26" i="19"/>
  <c r="F27" i="19"/>
  <c r="F28" i="19"/>
  <c r="F29" i="19"/>
  <c r="F30" i="19"/>
  <c r="F31" i="19"/>
  <c r="F32" i="19"/>
  <c r="F33" i="19"/>
  <c r="F34" i="19"/>
  <c r="F35" i="19"/>
  <c r="F36" i="19"/>
  <c r="F37" i="19"/>
  <c r="F38" i="19"/>
  <c r="F39" i="19"/>
  <c r="F40" i="19"/>
  <c r="I8" i="19" s="1"/>
  <c r="L14" i="34" s="1"/>
  <c r="F41" i="19"/>
  <c r="F42" i="19"/>
  <c r="F43" i="19"/>
  <c r="F44" i="19"/>
  <c r="F45" i="19"/>
  <c r="F46" i="19"/>
  <c r="F47" i="19"/>
  <c r="F48" i="19"/>
  <c r="F49" i="19"/>
  <c r="F50" i="19"/>
  <c r="F51" i="19"/>
  <c r="F52" i="19"/>
  <c r="F53" i="19"/>
  <c r="E14" i="34"/>
  <c r="H14" i="34"/>
  <c r="K14" i="34"/>
  <c r="N14" i="34"/>
  <c r="Q14" i="34"/>
  <c r="T14" i="34"/>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E15" i="34"/>
  <c r="H15" i="34"/>
  <c r="K15" i="34"/>
  <c r="N15" i="34"/>
  <c r="Q15" i="34"/>
  <c r="T15" i="34"/>
  <c r="F25" i="22"/>
  <c r="F26" i="22"/>
  <c r="F27" i="22"/>
  <c r="F28" i="22"/>
  <c r="F29" i="22"/>
  <c r="F30" i="22"/>
  <c r="F31" i="22"/>
  <c r="F32" i="22"/>
  <c r="F33" i="22"/>
  <c r="F34" i="22"/>
  <c r="F35" i="22"/>
  <c r="F36" i="22"/>
  <c r="F37" i="22"/>
  <c r="F38" i="22"/>
  <c r="F39" i="22"/>
  <c r="F40" i="22"/>
  <c r="F41" i="22"/>
  <c r="F42" i="22"/>
  <c r="F43" i="22"/>
  <c r="F44" i="22"/>
  <c r="F45" i="22"/>
  <c r="F46" i="22"/>
  <c r="F47" i="22"/>
  <c r="F48" i="22"/>
  <c r="I10" i="22" s="1"/>
  <c r="F49" i="22"/>
  <c r="F50" i="22"/>
  <c r="F51" i="22"/>
  <c r="F52" i="22"/>
  <c r="F53" i="22"/>
  <c r="E16" i="34"/>
  <c r="H16" i="34"/>
  <c r="K16" i="34"/>
  <c r="N16" i="34"/>
  <c r="Q16" i="34"/>
  <c r="T16" i="34"/>
  <c r="F25" i="24"/>
  <c r="F26" i="24"/>
  <c r="F27" i="24"/>
  <c r="F28" i="24"/>
  <c r="F29" i="24"/>
  <c r="F30" i="24"/>
  <c r="F31" i="24"/>
  <c r="F32" i="24"/>
  <c r="F33" i="24"/>
  <c r="F34" i="24"/>
  <c r="F35" i="24"/>
  <c r="F36" i="24"/>
  <c r="F37" i="24"/>
  <c r="F38" i="24"/>
  <c r="F39" i="24"/>
  <c r="F40" i="24"/>
  <c r="F41" i="24"/>
  <c r="F42" i="24"/>
  <c r="F43" i="24"/>
  <c r="F44" i="24"/>
  <c r="F45" i="24"/>
  <c r="F46" i="24"/>
  <c r="F47" i="24"/>
  <c r="F48" i="24"/>
  <c r="F49" i="24"/>
  <c r="F50" i="24"/>
  <c r="F51" i="24"/>
  <c r="F52" i="24"/>
  <c r="F53" i="24"/>
  <c r="E17" i="34"/>
  <c r="H17" i="34"/>
  <c r="K17" i="34"/>
  <c r="N17" i="34"/>
  <c r="Q17" i="34"/>
  <c r="T17" i="34"/>
  <c r="F25" i="26"/>
  <c r="F26" i="26"/>
  <c r="F27" i="26"/>
  <c r="F28" i="26"/>
  <c r="F29" i="26"/>
  <c r="F30" i="26"/>
  <c r="F31" i="26"/>
  <c r="F32" i="26"/>
  <c r="F33" i="26"/>
  <c r="F34" i="26"/>
  <c r="F35" i="26"/>
  <c r="F36" i="26"/>
  <c r="F37" i="26"/>
  <c r="I8" i="26" s="1"/>
  <c r="F38" i="26"/>
  <c r="F39" i="26"/>
  <c r="F40" i="26"/>
  <c r="F41" i="26"/>
  <c r="F42" i="26"/>
  <c r="F43" i="26"/>
  <c r="F44" i="26"/>
  <c r="F45" i="26"/>
  <c r="F46" i="26"/>
  <c r="F47" i="26"/>
  <c r="F48" i="26"/>
  <c r="F49" i="26"/>
  <c r="F50" i="26"/>
  <c r="F51" i="26"/>
  <c r="F52" i="26"/>
  <c r="F53" i="26"/>
  <c r="E18" i="34"/>
  <c r="H18" i="34"/>
  <c r="K18" i="34"/>
  <c r="N18" i="34"/>
  <c r="Q18" i="34"/>
  <c r="T18" i="34"/>
  <c r="F25" i="28"/>
  <c r="F26" i="28"/>
  <c r="F27" i="28"/>
  <c r="F28" i="28"/>
  <c r="F29" i="28"/>
  <c r="F30" i="28"/>
  <c r="F31" i="28"/>
  <c r="F32" i="28"/>
  <c r="F33" i="28"/>
  <c r="F34" i="28"/>
  <c r="F35" i="28"/>
  <c r="F36" i="28"/>
  <c r="F37" i="28"/>
  <c r="F38" i="28"/>
  <c r="F39" i="28"/>
  <c r="F40" i="28"/>
  <c r="F41" i="28"/>
  <c r="F42" i="28"/>
  <c r="F43" i="28"/>
  <c r="F44" i="28"/>
  <c r="F45" i="28"/>
  <c r="F46" i="28"/>
  <c r="F47" i="28"/>
  <c r="F48" i="28"/>
  <c r="F49" i="28"/>
  <c r="F50" i="28"/>
  <c r="F51" i="28"/>
  <c r="F52" i="28"/>
  <c r="F53" i="28"/>
  <c r="E19" i="34"/>
  <c r="H19" i="34"/>
  <c r="K19" i="34"/>
  <c r="N19" i="34"/>
  <c r="Q19" i="34"/>
  <c r="T19" i="34"/>
  <c r="F25" i="31"/>
  <c r="F26" i="31"/>
  <c r="F27" i="31"/>
  <c r="F28" i="31"/>
  <c r="F29" i="31"/>
  <c r="F30" i="31"/>
  <c r="F31" i="31"/>
  <c r="F32" i="31"/>
  <c r="F33" i="31"/>
  <c r="F34" i="31"/>
  <c r="F35" i="31"/>
  <c r="F36" i="31"/>
  <c r="F37" i="31"/>
  <c r="F38" i="31"/>
  <c r="F39" i="31"/>
  <c r="I8" i="31" s="1"/>
  <c r="F40" i="31"/>
  <c r="F41" i="31"/>
  <c r="F42" i="31"/>
  <c r="F43" i="31"/>
  <c r="F44" i="31"/>
  <c r="F45" i="31"/>
  <c r="F46" i="31"/>
  <c r="F47" i="31"/>
  <c r="F48" i="31"/>
  <c r="F49" i="31"/>
  <c r="F50" i="31"/>
  <c r="F51" i="31"/>
  <c r="F52" i="31"/>
  <c r="F53" i="31"/>
  <c r="E20" i="34"/>
  <c r="H20" i="34"/>
  <c r="K20" i="34"/>
  <c r="N20" i="34"/>
  <c r="Q20" i="34"/>
  <c r="T20" i="34"/>
  <c r="F25" i="33"/>
  <c r="F26" i="33"/>
  <c r="F27" i="33"/>
  <c r="F28" i="33"/>
  <c r="F29" i="33"/>
  <c r="F30" i="33"/>
  <c r="F31" i="33"/>
  <c r="F32" i="33"/>
  <c r="F33" i="33"/>
  <c r="F34" i="33"/>
  <c r="F35" i="33"/>
  <c r="F36" i="33"/>
  <c r="F37" i="33"/>
  <c r="F38" i="33"/>
  <c r="F39" i="33"/>
  <c r="F40" i="33"/>
  <c r="F41" i="33"/>
  <c r="F42" i="33"/>
  <c r="F43" i="33"/>
  <c r="F44" i="33"/>
  <c r="F45" i="33"/>
  <c r="F46" i="33"/>
  <c r="F47" i="33"/>
  <c r="F48" i="33"/>
  <c r="F49" i="33"/>
  <c r="F50" i="33"/>
  <c r="F51" i="33"/>
  <c r="F52" i="33"/>
  <c r="F53" i="33"/>
  <c r="E21" i="34"/>
  <c r="H21" i="34"/>
  <c r="K21" i="34"/>
  <c r="N21" i="34"/>
  <c r="Q21" i="34"/>
  <c r="T21" i="34"/>
  <c r="BB6" i="33"/>
  <c r="H4" i="33"/>
  <c r="D21" i="34" s="1"/>
  <c r="BB6" i="31"/>
  <c r="H4" i="31"/>
  <c r="D20" i="34" s="1"/>
  <c r="BB6" i="28"/>
  <c r="H4" i="28" s="1"/>
  <c r="D19" i="34" s="1"/>
  <c r="BB6" i="26"/>
  <c r="H4" i="26" s="1"/>
  <c r="D18" i="34" s="1"/>
  <c r="BB6" i="24"/>
  <c r="H4" i="24" s="1"/>
  <c r="D17" i="34" s="1"/>
  <c r="BB6" i="22"/>
  <c r="H4" i="22" s="1"/>
  <c r="D16" i="34" s="1"/>
  <c r="BB6" i="20"/>
  <c r="H4" i="20" s="1"/>
  <c r="D15" i="34" s="1"/>
  <c r="BB6" i="19"/>
  <c r="H4" i="19" s="1"/>
  <c r="D14" i="34" s="1"/>
  <c r="BB6" i="16"/>
  <c r="H4" i="16" s="1"/>
  <c r="D13" i="34" s="1"/>
  <c r="BB6" i="8"/>
  <c r="H4" i="8"/>
  <c r="D12" i="34" s="1"/>
  <c r="BB6" i="13"/>
  <c r="H4" i="13" s="1"/>
  <c r="D11" i="34" s="1"/>
  <c r="BB6" i="11"/>
  <c r="H4" i="11" s="1"/>
  <c r="D10" i="34" s="1"/>
  <c r="BB6" i="9"/>
  <c r="H4" i="9" s="1"/>
  <c r="D9" i="34" s="1"/>
  <c r="AY23" i="33"/>
  <c r="AY22" i="33"/>
  <c r="AY20" i="33"/>
  <c r="AY19" i="33"/>
  <c r="AY18" i="33"/>
  <c r="AY17" i="33"/>
  <c r="BB19" i="33"/>
  <c r="H12" i="33"/>
  <c r="BB7" i="33"/>
  <c r="BB4" i="33"/>
  <c r="AY23" i="31"/>
  <c r="AY22" i="31"/>
  <c r="AY20" i="31"/>
  <c r="AY19" i="31"/>
  <c r="AY18" i="31"/>
  <c r="AY17" i="31"/>
  <c r="BB19" i="31" s="1"/>
  <c r="H12" i="31"/>
  <c r="BB7" i="31"/>
  <c r="BB4" i="31"/>
  <c r="AY23" i="28"/>
  <c r="AY22" i="28"/>
  <c r="AY20" i="28"/>
  <c r="AY19" i="28"/>
  <c r="AY18" i="28"/>
  <c r="AY17" i="28"/>
  <c r="BB19" i="28" s="1"/>
  <c r="H12" i="28"/>
  <c r="BB7" i="28"/>
  <c r="BB4" i="28"/>
  <c r="AY23" i="26"/>
  <c r="AY22" i="26"/>
  <c r="AY20" i="26"/>
  <c r="AY19" i="26"/>
  <c r="AY18" i="26"/>
  <c r="AY17" i="26"/>
  <c r="BB19" i="26"/>
  <c r="H12" i="26"/>
  <c r="BB7" i="26"/>
  <c r="BB4" i="26"/>
  <c r="AY23" i="24"/>
  <c r="AY22" i="24"/>
  <c r="AY20" i="24"/>
  <c r="AY19" i="24"/>
  <c r="AY18" i="24"/>
  <c r="BB17" i="24" s="1"/>
  <c r="AY17" i="24"/>
  <c r="BB19" i="24" s="1"/>
  <c r="H12" i="24"/>
  <c r="BB7" i="24"/>
  <c r="BB4" i="24"/>
  <c r="AY23" i="22"/>
  <c r="AY22" i="22"/>
  <c r="AY20" i="22"/>
  <c r="AY19" i="22"/>
  <c r="AY18" i="22"/>
  <c r="AY17" i="22"/>
  <c r="BB19" i="22" s="1"/>
  <c r="H12" i="22"/>
  <c r="BB7" i="22"/>
  <c r="BB4" i="22"/>
  <c r="AY23" i="20"/>
  <c r="AY22" i="20"/>
  <c r="AY20" i="20"/>
  <c r="BB18" i="20" s="1"/>
  <c r="AY19" i="20"/>
  <c r="AY18" i="20"/>
  <c r="AY17" i="20"/>
  <c r="BB19" i="20"/>
  <c r="H12" i="20"/>
  <c r="BB7" i="20"/>
  <c r="BB4" i="20"/>
  <c r="AY23" i="19"/>
  <c r="AY22" i="19"/>
  <c r="AY20" i="19"/>
  <c r="AY19" i="19"/>
  <c r="AY18" i="19"/>
  <c r="BB18" i="19" s="1"/>
  <c r="AY17" i="19"/>
  <c r="BB19" i="19" s="1"/>
  <c r="H12" i="19"/>
  <c r="BB7" i="19"/>
  <c r="BB4" i="19"/>
  <c r="AY23" i="16"/>
  <c r="AY22" i="16"/>
  <c r="AY20" i="16"/>
  <c r="AY19" i="16"/>
  <c r="AY18" i="16"/>
  <c r="AY17" i="16"/>
  <c r="BB19" i="16" s="1"/>
  <c r="H12" i="16"/>
  <c r="BB7" i="16"/>
  <c r="BB4" i="16"/>
  <c r="AY23" i="13"/>
  <c r="AY22" i="13"/>
  <c r="AY20" i="13"/>
  <c r="AY19" i="13"/>
  <c r="BB19" i="13" s="1"/>
  <c r="AY18" i="13"/>
  <c r="AY17" i="13"/>
  <c r="H12" i="13"/>
  <c r="BB7" i="13"/>
  <c r="BB4" i="13"/>
  <c r="AY23" i="11"/>
  <c r="AY22" i="11"/>
  <c r="AY20" i="11"/>
  <c r="AY19" i="11"/>
  <c r="BB19" i="11" s="1"/>
  <c r="AY18" i="11"/>
  <c r="AY17" i="11"/>
  <c r="H12" i="11"/>
  <c r="BB7" i="11"/>
  <c r="BB4" i="11"/>
  <c r="AY23" i="9"/>
  <c r="AY22" i="9"/>
  <c r="AY20" i="9"/>
  <c r="AY19" i="9"/>
  <c r="AY17" i="9"/>
  <c r="BB19" i="9" s="1"/>
  <c r="AY18" i="9"/>
  <c r="H12" i="9"/>
  <c r="BB7" i="9"/>
  <c r="BB4" i="9"/>
  <c r="AY23" i="8"/>
  <c r="AY22" i="8"/>
  <c r="AY20" i="8"/>
  <c r="AY19" i="8"/>
  <c r="AY18" i="8"/>
  <c r="BB17" i="8" s="1"/>
  <c r="AY17" i="8"/>
  <c r="BB19" i="8" s="1"/>
  <c r="H12" i="8"/>
  <c r="BB7" i="8"/>
  <c r="BB4" i="8"/>
  <c r="BB18" i="33"/>
  <c r="BB17" i="33"/>
  <c r="BB18" i="31"/>
  <c r="BB17" i="31"/>
  <c r="BB18" i="28"/>
  <c r="BB18" i="26"/>
  <c r="BB17" i="26"/>
  <c r="BB18" i="22"/>
  <c r="BB17" i="20"/>
  <c r="BB17" i="13"/>
  <c r="BB18" i="8"/>
  <c r="I24" i="1"/>
  <c r="I59" i="1"/>
  <c r="E117" i="1" s="1"/>
  <c r="I31" i="1"/>
  <c r="I43" i="1"/>
  <c r="I42" i="1"/>
  <c r="E112" i="1" s="1"/>
  <c r="I41" i="1"/>
  <c r="I40" i="1"/>
  <c r="I38" i="1"/>
  <c r="I37" i="1"/>
  <c r="I36" i="1"/>
  <c r="I35" i="1"/>
  <c r="I34" i="1"/>
  <c r="I33" i="1"/>
  <c r="D111" i="1" s="1"/>
  <c r="I30" i="1"/>
  <c r="I28" i="1"/>
  <c r="I27" i="1"/>
  <c r="I26" i="1"/>
  <c r="E113" i="1" s="1"/>
  <c r="D114" i="1"/>
  <c r="E114" i="1"/>
  <c r="I11" i="1"/>
  <c r="I12" i="1"/>
  <c r="I13" i="1"/>
  <c r="I14" i="1"/>
  <c r="I15" i="1"/>
  <c r="I16" i="1"/>
  <c r="I17" i="1"/>
  <c r="I18" i="1"/>
  <c r="I10" i="1"/>
  <c r="I56" i="1"/>
  <c r="I53" i="1"/>
  <c r="I86" i="1"/>
  <c r="I67" i="1"/>
  <c r="I71" i="1"/>
  <c r="I72" i="1"/>
  <c r="I95" i="1"/>
  <c r="I20" i="1"/>
  <c r="I21" i="1"/>
  <c r="I22" i="1"/>
  <c r="I23" i="1"/>
  <c r="I45" i="1"/>
  <c r="I46" i="1"/>
  <c r="I47" i="1"/>
  <c r="I48" i="1"/>
  <c r="D116" i="1" s="1"/>
  <c r="I49" i="1"/>
  <c r="I50" i="1"/>
  <c r="I51" i="1"/>
  <c r="I52" i="1"/>
  <c r="I54" i="1"/>
  <c r="I57" i="1"/>
  <c r="I58" i="1"/>
  <c r="I60" i="1"/>
  <c r="I61" i="1"/>
  <c r="I62" i="1"/>
  <c r="I64" i="1"/>
  <c r="I65" i="1"/>
  <c r="D118" i="1" s="1"/>
  <c r="I66" i="1"/>
  <c r="I68" i="1"/>
  <c r="I70" i="1"/>
  <c r="I73" i="1"/>
  <c r="E119" i="1" s="1"/>
  <c r="G119" i="1" s="1"/>
  <c r="I75" i="1"/>
  <c r="I76" i="1"/>
  <c r="I77" i="1"/>
  <c r="I78" i="1"/>
  <c r="D120" i="1" s="1"/>
  <c r="G120" i="1" s="1"/>
  <c r="I79" i="1"/>
  <c r="I80" i="1"/>
  <c r="I81" i="1"/>
  <c r="I83" i="1"/>
  <c r="E121" i="1" s="1"/>
  <c r="I84" i="1"/>
  <c r="I85" i="1"/>
  <c r="I87" i="1"/>
  <c r="I89" i="1"/>
  <c r="D122" i="1" s="1"/>
  <c r="G122" i="1" s="1"/>
  <c r="I90" i="1"/>
  <c r="I91" i="1"/>
  <c r="I92" i="1"/>
  <c r="I93" i="1"/>
  <c r="I94" i="1"/>
  <c r="I96" i="1"/>
  <c r="E118" i="1"/>
  <c r="D119" i="1"/>
  <c r="B116" i="1"/>
  <c r="G114" i="1"/>
  <c r="B122" i="1"/>
  <c r="B121" i="1"/>
  <c r="B120" i="1"/>
  <c r="B117" i="1"/>
  <c r="E120" i="1"/>
  <c r="E122" i="1"/>
  <c r="D110" i="1"/>
  <c r="E110" i="1"/>
  <c r="G110" i="1"/>
  <c r="I8" i="28" l="1"/>
  <c r="J9" i="45"/>
  <c r="O27" i="34"/>
  <c r="P27" i="34" s="1"/>
  <c r="J10" i="45"/>
  <c r="R27" i="34"/>
  <c r="S27" i="34" s="1"/>
  <c r="J7" i="45"/>
  <c r="I27" i="34"/>
  <c r="J27" i="34" s="1"/>
  <c r="J11" i="45"/>
  <c r="U27" i="34"/>
  <c r="V27" i="34" s="1"/>
  <c r="I8" i="33"/>
  <c r="I8" i="22"/>
  <c r="J8" i="22" s="1"/>
  <c r="J8" i="45"/>
  <c r="L27" i="34"/>
  <c r="M27" i="34" s="1"/>
  <c r="J6" i="45"/>
  <c r="F27" i="34"/>
  <c r="G27" i="34" s="1"/>
  <c r="I25" i="34"/>
  <c r="J25" i="34" s="1"/>
  <c r="O22" i="34"/>
  <c r="P22" i="34" s="1"/>
  <c r="U22" i="34"/>
  <c r="V22" i="34" s="1"/>
  <c r="I10" i="19"/>
  <c r="J10" i="19" s="1"/>
  <c r="L18" i="34"/>
  <c r="J8" i="26"/>
  <c r="L21" i="34"/>
  <c r="M21" i="34" s="1"/>
  <c r="J8" i="33"/>
  <c r="F22" i="34"/>
  <c r="G22" i="34" s="1"/>
  <c r="I9" i="33"/>
  <c r="J9" i="33" s="1"/>
  <c r="I12" i="43"/>
  <c r="O25" i="34"/>
  <c r="P25" i="34" s="1"/>
  <c r="J7" i="37"/>
  <c r="I8" i="24"/>
  <c r="J8" i="24" s="1"/>
  <c r="I7" i="16"/>
  <c r="J7" i="16" s="1"/>
  <c r="I10" i="13"/>
  <c r="R11" i="34" s="1"/>
  <c r="S11" i="34" s="1"/>
  <c r="I7" i="26"/>
  <c r="I18" i="34" s="1"/>
  <c r="J18" i="34" s="1"/>
  <c r="U25" i="34"/>
  <c r="V25" i="34" s="1"/>
  <c r="R25" i="34"/>
  <c r="S25" i="34" s="1"/>
  <c r="I9" i="26"/>
  <c r="O18" i="34" s="1"/>
  <c r="P18" i="34" s="1"/>
  <c r="I6" i="26"/>
  <c r="J6" i="26" s="1"/>
  <c r="I7" i="22"/>
  <c r="I16" i="34" s="1"/>
  <c r="J16" i="34" s="1"/>
  <c r="I11" i="13"/>
  <c r="J11" i="13" s="1"/>
  <c r="I11" i="26"/>
  <c r="J11" i="26" s="1"/>
  <c r="J6" i="37"/>
  <c r="J6" i="41"/>
  <c r="I6" i="8"/>
  <c r="J6" i="8" s="1"/>
  <c r="I9" i="11"/>
  <c r="J9" i="11" s="1"/>
  <c r="I9" i="8"/>
  <c r="O12" i="34" s="1"/>
  <c r="P12" i="34" s="1"/>
  <c r="I9" i="19"/>
  <c r="O14" i="34" s="1"/>
  <c r="P14" i="34" s="1"/>
  <c r="I9" i="24"/>
  <c r="O17" i="34" s="1"/>
  <c r="P17" i="34" s="1"/>
  <c r="I12" i="39"/>
  <c r="J12" i="39" s="1"/>
  <c r="I14" i="39" s="1"/>
  <c r="I9" i="13"/>
  <c r="O11" i="34" s="1"/>
  <c r="P11" i="34" s="1"/>
  <c r="I12" i="41"/>
  <c r="J6" i="39"/>
  <c r="U23" i="34"/>
  <c r="V23" i="34" s="1"/>
  <c r="I12" i="37"/>
  <c r="J12" i="37" s="1"/>
  <c r="I14" i="37" s="1"/>
  <c r="I12" i="35"/>
  <c r="J12" i="35" s="1"/>
  <c r="I14" i="35" s="1"/>
  <c r="I22" i="34"/>
  <c r="J22" i="34" s="1"/>
  <c r="I11" i="33"/>
  <c r="J11" i="33" s="1"/>
  <c r="I10" i="33"/>
  <c r="J10" i="33" s="1"/>
  <c r="I7" i="33"/>
  <c r="J7" i="33" s="1"/>
  <c r="I6" i="33"/>
  <c r="F21" i="34" s="1"/>
  <c r="G21" i="34" s="1"/>
  <c r="I6" i="31"/>
  <c r="F20" i="34" s="1"/>
  <c r="G20" i="34" s="1"/>
  <c r="I11" i="28"/>
  <c r="U19" i="34" s="1"/>
  <c r="V19" i="34" s="1"/>
  <c r="I7" i="28"/>
  <c r="J7" i="28" s="1"/>
  <c r="I10" i="24"/>
  <c r="J10" i="24" s="1"/>
  <c r="I11" i="22"/>
  <c r="J11" i="22" s="1"/>
  <c r="I6" i="22"/>
  <c r="F16" i="34" s="1"/>
  <c r="G16" i="34" s="1"/>
  <c r="I10" i="20"/>
  <c r="J10" i="20" s="1"/>
  <c r="I11" i="20"/>
  <c r="J11" i="20" s="1"/>
  <c r="I6" i="20"/>
  <c r="F15" i="34" s="1"/>
  <c r="G15" i="34" s="1"/>
  <c r="I10" i="16"/>
  <c r="J10" i="16" s="1"/>
  <c r="I11" i="8"/>
  <c r="U12" i="34" s="1"/>
  <c r="V12" i="34" s="1"/>
  <c r="I7" i="8"/>
  <c r="I12" i="34" s="1"/>
  <c r="J12" i="34" s="1"/>
  <c r="I10" i="11"/>
  <c r="R10" i="34" s="1"/>
  <c r="S10" i="34" s="1"/>
  <c r="I9" i="9"/>
  <c r="J9" i="9" s="1"/>
  <c r="I8" i="9"/>
  <c r="J8" i="9" s="1"/>
  <c r="L20" i="34"/>
  <c r="M20" i="34" s="1"/>
  <c r="J8" i="31"/>
  <c r="L9" i="34"/>
  <c r="M9" i="34" s="1"/>
  <c r="R21" i="34"/>
  <c r="S21" i="34" s="1"/>
  <c r="G118" i="1"/>
  <c r="R13" i="34"/>
  <c r="S13" i="34" s="1"/>
  <c r="G121" i="1"/>
  <c r="L19" i="34"/>
  <c r="M19" i="34" s="1"/>
  <c r="J8" i="28"/>
  <c r="E116" i="1"/>
  <c r="G116" i="1" s="1"/>
  <c r="D117" i="1"/>
  <c r="G117" i="1" s="1"/>
  <c r="D121" i="1"/>
  <c r="E111" i="1"/>
  <c r="D112" i="1"/>
  <c r="BB17" i="11"/>
  <c r="BB17" i="19"/>
  <c r="BB18" i="24"/>
  <c r="BB17" i="28"/>
  <c r="BB18" i="9"/>
  <c r="I11" i="19"/>
  <c r="U14" i="34" s="1"/>
  <c r="V14" i="34" s="1"/>
  <c r="I6" i="19"/>
  <c r="F14" i="34" s="1"/>
  <c r="G14" i="34" s="1"/>
  <c r="I8" i="16"/>
  <c r="L13" i="34" s="1"/>
  <c r="M13" i="34" s="1"/>
  <c r="I10" i="8"/>
  <c r="R12" i="34" s="1"/>
  <c r="S12" i="34" s="1"/>
  <c r="I6" i="11"/>
  <c r="F10" i="34" s="1"/>
  <c r="G10" i="34" s="1"/>
  <c r="J6" i="43"/>
  <c r="I12" i="47"/>
  <c r="J12" i="47" s="1"/>
  <c r="I14" i="47" s="1"/>
  <c r="J10" i="43"/>
  <c r="J10" i="35"/>
  <c r="R22" i="34"/>
  <c r="S22" i="34" s="1"/>
  <c r="J10" i="39"/>
  <c r="R24" i="34"/>
  <c r="S24" i="34" s="1"/>
  <c r="J11" i="43"/>
  <c r="J8" i="35"/>
  <c r="L22" i="34"/>
  <c r="M22" i="34" s="1"/>
  <c r="J11" i="39"/>
  <c r="U24" i="34"/>
  <c r="V24" i="34" s="1"/>
  <c r="BB18" i="11"/>
  <c r="BB17" i="22"/>
  <c r="I10" i="26"/>
  <c r="R18" i="34" s="1"/>
  <c r="S18" i="34" s="1"/>
  <c r="I9" i="20"/>
  <c r="O15" i="34" s="1"/>
  <c r="P15" i="34" s="1"/>
  <c r="I7" i="13"/>
  <c r="I11" i="34" s="1"/>
  <c r="J11" i="34" s="1"/>
  <c r="I6" i="13"/>
  <c r="F11" i="34" s="1"/>
  <c r="G11" i="34" s="1"/>
  <c r="I10" i="9"/>
  <c r="J10" i="9" s="1"/>
  <c r="J10" i="37"/>
  <c r="R23" i="34"/>
  <c r="S23" i="34" s="1"/>
  <c r="J9" i="43"/>
  <c r="J9" i="39"/>
  <c r="O24" i="34"/>
  <c r="P24" i="34" s="1"/>
  <c r="D113" i="1"/>
  <c r="G113" i="1" s="1"/>
  <c r="I10" i="31"/>
  <c r="J10" i="31" s="1"/>
  <c r="I9" i="31"/>
  <c r="O20" i="34" s="1"/>
  <c r="I10" i="28"/>
  <c r="R19" i="34" s="1"/>
  <c r="S19" i="34" s="1"/>
  <c r="I8" i="8"/>
  <c r="E28" i="34"/>
  <c r="BB17" i="9"/>
  <c r="BB18" i="13"/>
  <c r="I6" i="28"/>
  <c r="I7" i="24"/>
  <c r="J7" i="24" s="1"/>
  <c r="I9" i="22"/>
  <c r="J9" i="22" s="1"/>
  <c r="I8" i="20"/>
  <c r="J8" i="20" s="1"/>
  <c r="I8" i="13"/>
  <c r="J8" i="13" s="1"/>
  <c r="I11" i="11"/>
  <c r="J11" i="11" s="1"/>
  <c r="I11" i="9"/>
  <c r="J11" i="9" s="1"/>
  <c r="I7" i="9"/>
  <c r="J7" i="9" s="1"/>
  <c r="I6" i="9"/>
  <c r="F9" i="34" s="1"/>
  <c r="G9" i="34" s="1"/>
  <c r="I12" i="45"/>
  <c r="J7" i="39"/>
  <c r="I24" i="34"/>
  <c r="J24" i="34" s="1"/>
  <c r="J9" i="37"/>
  <c r="O23" i="34"/>
  <c r="P23" i="34" s="1"/>
  <c r="T28" i="34"/>
  <c r="Q28" i="34"/>
  <c r="N28" i="34"/>
  <c r="K28" i="34"/>
  <c r="H28" i="34"/>
  <c r="W9" i="34"/>
  <c r="M18" i="34"/>
  <c r="W18" i="34"/>
  <c r="W17" i="34"/>
  <c r="W11" i="34"/>
  <c r="W10" i="34"/>
  <c r="W21" i="34"/>
  <c r="W20" i="34"/>
  <c r="W13" i="34"/>
  <c r="W12" i="34"/>
  <c r="W14" i="34"/>
  <c r="W16" i="34"/>
  <c r="W19" i="34"/>
  <c r="W15" i="34"/>
  <c r="M14" i="34"/>
  <c r="I11" i="31"/>
  <c r="J11" i="31" s="1"/>
  <c r="I7" i="31"/>
  <c r="I20" i="34" s="1"/>
  <c r="J20" i="34" s="1"/>
  <c r="I9" i="28"/>
  <c r="J9" i="28" s="1"/>
  <c r="I11" i="24"/>
  <c r="U17" i="34" s="1"/>
  <c r="V17" i="34" s="1"/>
  <c r="I6" i="24"/>
  <c r="J6" i="24" s="1"/>
  <c r="L15" i="34"/>
  <c r="M15" i="34" s="1"/>
  <c r="I7" i="20"/>
  <c r="I15" i="34" s="1"/>
  <c r="J15" i="34" s="1"/>
  <c r="I7" i="19"/>
  <c r="I14" i="34" s="1"/>
  <c r="J14" i="34" s="1"/>
  <c r="I11" i="16"/>
  <c r="U13" i="34" s="1"/>
  <c r="V13" i="34" s="1"/>
  <c r="I9" i="16"/>
  <c r="J9" i="16" s="1"/>
  <c r="L12" i="34"/>
  <c r="M12" i="34" s="1"/>
  <c r="J8" i="8"/>
  <c r="I7" i="11"/>
  <c r="I10" i="34" s="1"/>
  <c r="J10" i="34" s="1"/>
  <c r="BB17" i="16"/>
  <c r="BB18" i="16"/>
  <c r="I6" i="16"/>
  <c r="F13" i="34" s="1"/>
  <c r="G13" i="34" s="1"/>
  <c r="J8" i="11"/>
  <c r="L10" i="34"/>
  <c r="M10" i="34" s="1"/>
  <c r="R16" i="34"/>
  <c r="S16" i="34" s="1"/>
  <c r="J10" i="22"/>
  <c r="J8" i="19"/>
  <c r="U16" i="34" l="1"/>
  <c r="V16" i="34" s="1"/>
  <c r="L16" i="34"/>
  <c r="M16" i="34" s="1"/>
  <c r="J10" i="8"/>
  <c r="R9" i="34"/>
  <c r="L11" i="34"/>
  <c r="J12" i="43"/>
  <c r="I14" i="43" s="1"/>
  <c r="X26" i="34"/>
  <c r="Y26" i="34" s="1"/>
  <c r="I13" i="34"/>
  <c r="J13" i="34" s="1"/>
  <c r="J12" i="45"/>
  <c r="I14" i="45" s="1"/>
  <c r="X27" i="34"/>
  <c r="O21" i="34"/>
  <c r="P21" i="34" s="1"/>
  <c r="U21" i="34"/>
  <c r="V21" i="34" s="1"/>
  <c r="J9" i="19"/>
  <c r="J7" i="22"/>
  <c r="R14" i="34"/>
  <c r="S14" i="34" s="1"/>
  <c r="U18" i="34"/>
  <c r="V18" i="34" s="1"/>
  <c r="J9" i="13"/>
  <c r="J9" i="20"/>
  <c r="J8" i="16"/>
  <c r="J7" i="26"/>
  <c r="R17" i="34"/>
  <c r="S17" i="34" s="1"/>
  <c r="L17" i="34"/>
  <c r="M17" i="34" s="1"/>
  <c r="I9" i="34"/>
  <c r="J9" i="34" s="1"/>
  <c r="J10" i="13"/>
  <c r="F12" i="34"/>
  <c r="G12" i="34" s="1"/>
  <c r="J12" i="41"/>
  <c r="I14" i="41" s="1"/>
  <c r="V26" i="34"/>
  <c r="J9" i="26"/>
  <c r="I17" i="34"/>
  <c r="J17" i="34" s="1"/>
  <c r="J9" i="8"/>
  <c r="J7" i="8"/>
  <c r="O10" i="34"/>
  <c r="P10" i="34" s="1"/>
  <c r="I19" i="34"/>
  <c r="J19" i="34" s="1"/>
  <c r="F18" i="34"/>
  <c r="G18" i="34" s="1"/>
  <c r="I12" i="26"/>
  <c r="J12" i="26" s="1"/>
  <c r="I14" i="26" s="1"/>
  <c r="J10" i="26"/>
  <c r="J9" i="24"/>
  <c r="O9" i="34"/>
  <c r="P9" i="34" s="1"/>
  <c r="R15" i="34"/>
  <c r="S15" i="34" s="1"/>
  <c r="I12" i="8"/>
  <c r="J12" i="8" s="1"/>
  <c r="I14" i="8" s="1"/>
  <c r="U11" i="34"/>
  <c r="V11" i="34" s="1"/>
  <c r="J6" i="33"/>
  <c r="J9" i="31"/>
  <c r="U10" i="34"/>
  <c r="V10" i="34" s="1"/>
  <c r="J10" i="11"/>
  <c r="X24" i="34"/>
  <c r="Y24" i="34" s="1"/>
  <c r="J11" i="19"/>
  <c r="J11" i="8"/>
  <c r="U15" i="34"/>
  <c r="V15" i="34" s="1"/>
  <c r="O16" i="34"/>
  <c r="P16" i="34" s="1"/>
  <c r="J10" i="28"/>
  <c r="J6" i="31"/>
  <c r="X23" i="34"/>
  <c r="Y23" i="34" s="1"/>
  <c r="J7" i="13"/>
  <c r="J6" i="13"/>
  <c r="U9" i="34"/>
  <c r="V9" i="34" s="1"/>
  <c r="J6" i="9"/>
  <c r="X25" i="34"/>
  <c r="Y25" i="34" s="1"/>
  <c r="X22" i="34"/>
  <c r="Y22" i="34" s="1"/>
  <c r="I12" i="33"/>
  <c r="J12" i="33" s="1"/>
  <c r="I14" i="33" s="1"/>
  <c r="I21" i="34"/>
  <c r="J21" i="34" s="1"/>
  <c r="R20" i="34"/>
  <c r="S20" i="34" s="1"/>
  <c r="J7" i="31"/>
  <c r="I12" i="31"/>
  <c r="J12" i="31" s="1"/>
  <c r="I14" i="31" s="1"/>
  <c r="J11" i="28"/>
  <c r="I12" i="28"/>
  <c r="J12" i="28" s="1"/>
  <c r="I14" i="28" s="1"/>
  <c r="J6" i="28"/>
  <c r="F19" i="34"/>
  <c r="G19" i="34" s="1"/>
  <c r="I12" i="22"/>
  <c r="J12" i="22" s="1"/>
  <c r="I14" i="22" s="1"/>
  <c r="J6" i="22"/>
  <c r="J6" i="20"/>
  <c r="J7" i="20"/>
  <c r="J7" i="19"/>
  <c r="J6" i="19"/>
  <c r="I12" i="19"/>
  <c r="J12" i="19" s="1"/>
  <c r="I14" i="19" s="1"/>
  <c r="J11" i="16"/>
  <c r="I12" i="16"/>
  <c r="J12" i="16" s="1"/>
  <c r="I14" i="16" s="1"/>
  <c r="I12" i="13"/>
  <c r="J12" i="13" s="1"/>
  <c r="I14" i="13" s="1"/>
  <c r="J6" i="11"/>
  <c r="I12" i="9"/>
  <c r="J12" i="9" s="1"/>
  <c r="I14" i="9" s="1"/>
  <c r="E123" i="1"/>
  <c r="J6" i="16"/>
  <c r="I12" i="20"/>
  <c r="J12" i="20" s="1"/>
  <c r="I14" i="20" s="1"/>
  <c r="O19" i="34"/>
  <c r="P19" i="34" s="1"/>
  <c r="W28" i="34"/>
  <c r="G112" i="1"/>
  <c r="E115" i="1"/>
  <c r="G111" i="1"/>
  <c r="D115" i="1"/>
  <c r="D123" i="1" s="1"/>
  <c r="C8" i="1" s="1"/>
  <c r="L28" i="34"/>
  <c r="M28" i="34" s="1"/>
  <c r="U20" i="34"/>
  <c r="V20" i="34" s="1"/>
  <c r="I12" i="24"/>
  <c r="J12" i="24" s="1"/>
  <c r="I14" i="24" s="1"/>
  <c r="F17" i="34"/>
  <c r="G17" i="34" s="1"/>
  <c r="J11" i="24"/>
  <c r="O13" i="34"/>
  <c r="I12" i="11"/>
  <c r="J12" i="11" s="1"/>
  <c r="I14" i="11" s="1"/>
  <c r="J7" i="11"/>
  <c r="P20" i="34"/>
  <c r="M11" i="34"/>
  <c r="S9" i="34"/>
  <c r="Y27" i="34" l="1"/>
  <c r="X14" i="34"/>
  <c r="Y14" i="34" s="1"/>
  <c r="X12" i="34"/>
  <c r="Y12" i="34" s="1"/>
  <c r="R28" i="34"/>
  <c r="S28" i="34" s="1"/>
  <c r="X11" i="34"/>
  <c r="Y11" i="34" s="1"/>
  <c r="X10" i="34"/>
  <c r="Y10" i="34" s="1"/>
  <c r="X18" i="34"/>
  <c r="Y18" i="34" s="1"/>
  <c r="X9" i="34"/>
  <c r="Y9" i="34" s="1"/>
  <c r="X21" i="34"/>
  <c r="Y21" i="34" s="1"/>
  <c r="X16" i="34"/>
  <c r="Y16" i="34" s="1"/>
  <c r="X15" i="34"/>
  <c r="Y15" i="34" s="1"/>
  <c r="I28" i="34"/>
  <c r="J28" i="34" s="1"/>
  <c r="X19" i="34"/>
  <c r="Y19" i="34" s="1"/>
  <c r="G115" i="1"/>
  <c r="U28" i="34"/>
  <c r="V28" i="34" s="1"/>
  <c r="E8" i="1"/>
  <c r="G123" i="1"/>
  <c r="H8" i="1" s="1"/>
  <c r="X13" i="34"/>
  <c r="Y13" i="34" s="1"/>
  <c r="O28" i="34"/>
  <c r="P28" i="34" s="1"/>
  <c r="F28" i="34"/>
  <c r="G28" i="34" s="1"/>
  <c r="X20" i="34"/>
  <c r="Y20" i="34" s="1"/>
  <c r="P13" i="34"/>
  <c r="X17" i="34"/>
  <c r="Y17" i="34" s="1"/>
  <c r="X28" i="34" l="1"/>
  <c r="Y28" i="34" s="1"/>
</calcChain>
</file>

<file path=xl/sharedStrings.xml><?xml version="1.0" encoding="utf-8"?>
<sst xmlns="http://schemas.openxmlformats.org/spreadsheetml/2006/main" count="3773" uniqueCount="516">
  <si>
    <t>Ubicación</t>
  </si>
  <si>
    <t>Calidad del producto</t>
  </si>
  <si>
    <t>Total %</t>
  </si>
  <si>
    <t>Puntos disponibles</t>
  </si>
  <si>
    <t>Puntos otorgados</t>
  </si>
  <si>
    <t>Porcentaje</t>
  </si>
  <si>
    <t>Agujas:</t>
  </si>
  <si>
    <t>Porcentaje:</t>
  </si>
  <si>
    <t>Puntos posibles:</t>
  </si>
  <si>
    <t>Comentarios</t>
  </si>
  <si>
    <t>Fecha del formulario</t>
  </si>
  <si>
    <t>Riesgos inminentes para la salud</t>
  </si>
  <si>
    <t>Seguridad alimentaria - Sistema de saneamiento</t>
  </si>
  <si>
    <t>¿El área del comedor está limpia, mantenida y el ambiente cumple con los requisitos de BR?</t>
  </si>
  <si>
    <t>¿Los utensilios y recipientes para alimentos están limpios, en buenas condiciones y cumplen con los requisitos de BR?</t>
  </si>
  <si>
    <t>¿El área de almacenamiento en seco está limpia, en buenas condiciones y cumple con los requisitos de BR?</t>
  </si>
  <si>
    <t>¿Los baños públicos están limpios y en buenas condiciones?</t>
  </si>
  <si>
    <t>¿Los baños de los empleados están limpios y en buenas condiciones?</t>
  </si>
  <si>
    <t>¿Las básculas, los dispensadores y el abrelatas están limpios, en buenas condiciones y cumplen con los requisitos de BR?</t>
  </si>
  <si>
    <t>¿La tienda ofrece una muestra de cuchara rosa a todos los huéspedes?</t>
  </si>
  <si>
    <t>¿El taller cuenta con todas las ayudas de trabajo y guías instructivas actualizadas y están ubicadas en el lugar apropiado dentro del círculo de trabajo?</t>
  </si>
  <si>
    <t>¿Los calentadores y el riel de jarabe están limpios, a la temperatura correcta y en buen estado?</t>
  </si>
  <si>
    <t>¿El dispensador de nueces o cerezas y el centro de cobertura de helado están limpios y cumplen con los requisitos de BR?</t>
  </si>
  <si>
    <t>¿El área de servicio y el equipo (máquina para hacer conos de waffle, vitrina, mandril para conos, pastel, azúcar, conos de waffle y soportes para cajas de conos) están limpios, en buenas condiciones y cumplen con los requisitos de BR?</t>
  </si>
  <si>
    <t>¿Los productos aprobados dentro del refrigerador se almacenan correctamente según las normas especificadas por BR?</t>
  </si>
  <si>
    <t>¿El POS está aprobado, limpio y en buenas condiciones?</t>
  </si>
  <si>
    <t>¿Los gabinetes de inmersión están limpios y en buenas condiciones y cumplen con los requisitos de BR?</t>
  </si>
  <si>
    <t>¿La batidora de batidos, la batidora a 31 grados bajo cero, la máquina de helado suave, las licuadoras y los silenciadores están limpios, en buenas condiciones y cumplen con los requisitos de BR?</t>
  </si>
  <si>
    <t>¿Los materiales y equipos para la elaboración y preparación de postres y pasteles están limpios y en buen estado?</t>
  </si>
  <si>
    <t>¿La máquina de hielo está limpia, en buenas condiciones y cumple con los requisitos de BR?</t>
  </si>
  <si>
    <t>Seguridad alimentaria - Sistema de prácticas e higiene de los empleados</t>
  </si>
  <si>
    <t>Seguridad alimentaria - Sistema de buenas prácticas de venta minorista</t>
  </si>
  <si>
    <t>Servicios para huéspedes</t>
  </si>
  <si>
    <t>Capacitación</t>
  </si>
  <si>
    <t>Comercialización</t>
  </si>
  <si>
    <t>Normas de equipamiento</t>
  </si>
  <si>
    <t>¿Se están cumpliendo los estándares de pasteles requeridos por BR?</t>
  </si>
  <si>
    <t>¿El Cake Book/Cake Tablet está actualizado y en buenas condiciones?</t>
  </si>
  <si>
    <t>Hay agua corriente caliente y fría disponible.</t>
  </si>
  <si>
    <t xml:space="preserve"> Gerente y miembros de la tripulación libres de enfermedades y síntomas.</t>
  </si>
  <si>
    <t xml:space="preserve"> Libre de productos adulterados/contaminados</t>
  </si>
  <si>
    <t xml:space="preserve"> Libre de atascos de alcantarillado</t>
  </si>
  <si>
    <t xml:space="preserve"> Libre de plagas que provoquen contaminación de superficies de contacto o alimentos.</t>
  </si>
  <si>
    <t xml:space="preserve"> El restaurante tiene desinfectante</t>
  </si>
  <si>
    <t xml:space="preserve"> El fregadero de dos o tres compartimentos está instalado y se utiliza correctamente</t>
  </si>
  <si>
    <t xml:space="preserve"> Los refrigeradores, congeladores y cámaras frigoríficas están limpios y sin acumulación de hielo.</t>
  </si>
  <si>
    <t xml:space="preserve"> Restaurante libre de plagas y evidencia de plagas.</t>
  </si>
  <si>
    <t>Las soluciones desinfectantes están limpias, tienen la concentración adecuada y hay tiras de prueba disponibles.</t>
  </si>
  <si>
    <t>¿Está limpio y en buen estado el exterior? Evalúe la limpieza y el estado de la entrada, las puertas, las ventanas, la señalización y la iluminación a través de los ojos del huésped.</t>
  </si>
  <si>
    <t>¿El área de fregado y lavado de la trastienda de almacenamiento en seco está limpia, en buenas condiciones y cumple con los requisitos de BR? ¿El trapeador está ubicado de manera que permita un secado adecuado?</t>
  </si>
  <si>
    <t>¿El restaurante cuenta con el personal adecuado para atender el volumen de negocio?</t>
  </si>
  <si>
    <t>¿El uniforme que usa la tripulación cumple con los estándares de la marca?</t>
  </si>
  <si>
    <t>¿Los miembros del equipo están atentos e interactúan adecuadamente con los huéspedes?</t>
  </si>
  <si>
    <t>¿Está la tripulación familiarizada con todas las promociones u ofertas especiales actuales?</t>
  </si>
  <si>
    <t>Cuando se le pregunta, ¿sabe la tripulación dónde encontrar la información nutricional más actualizada para los huéspedes?</t>
  </si>
  <si>
    <t>¿Todos los miembros de la tripulación han recibido formación aprobada por BR y han obtenido una puntuación satisfactoria?</t>
  </si>
  <si>
    <t>¿Todos los productos están elaborados según los estándares y recetas de BR?</t>
  </si>
  <si>
    <t>¿Los materiales publicitarios en el restaurante están actualizados, en buen estado, aprobados y cumplen con el planograma actual?</t>
  </si>
  <si>
    <t>¿Todos los productos de oferta por tiempo limitado (LTO) se ofrecen y están disponibles para ser comprados?</t>
  </si>
  <si>
    <t>¿El restaurante cumple con los estándares de comercialización de la Guía de Excelencia en Postres?</t>
  </si>
  <si>
    <t>Experiencia en restaurante</t>
  </si>
  <si>
    <t>¿El restaurante participa en el Programa de Conos de Waffle Frescos?</t>
  </si>
  <si>
    <t>¿Eres capaz de detectar el aroma de los conos de galleta recién horneados en el restaurante?</t>
  </si>
  <si>
    <t>¿El restaurante participa en el programa de música?</t>
  </si>
  <si>
    <t>¿El restaurante acepta tarjetas de crédito?</t>
  </si>
  <si>
    <t>¿La tripulación sigue un proceso documentado para abrir y cerrar su restaurante?</t>
  </si>
  <si>
    <t>¿Están los contactos de emergencia, números de teléfono, señales, carteles y materiales requeridos publicados en un área designada?</t>
  </si>
  <si>
    <t>Riesgos inminentes para la salud %</t>
  </si>
  <si>
    <t>RSI 1</t>
  </si>
  <si>
    <t>RSI 2</t>
  </si>
  <si>
    <t>RSI 3</t>
  </si>
  <si>
    <t>RSI 4</t>
  </si>
  <si>
    <t>RSI 5</t>
  </si>
  <si>
    <t>RSI 6</t>
  </si>
  <si>
    <t>RSI 7</t>
  </si>
  <si>
    <t>RSI 8</t>
  </si>
  <si>
    <t>RSI 9</t>
  </si>
  <si>
    <t>FS-SS 1</t>
  </si>
  <si>
    <t>FS-SS 2</t>
  </si>
  <si>
    <t>FS-SS 3</t>
  </si>
  <si>
    <t>FS-SS 4</t>
  </si>
  <si>
    <t>FS-GRP-1</t>
  </si>
  <si>
    <t>FS-GRP2</t>
  </si>
  <si>
    <t>FS-GRP3</t>
  </si>
  <si>
    <t>FS-GRP 4</t>
  </si>
  <si>
    <t>FS-GRP 7</t>
  </si>
  <si>
    <t>FS-GRP8</t>
  </si>
  <si>
    <t>FS-EH1</t>
  </si>
  <si>
    <t>FS-EH2</t>
  </si>
  <si>
    <t>FS-EH3</t>
  </si>
  <si>
    <t>FS-TT1</t>
  </si>
  <si>
    <t>FS-TT2</t>
  </si>
  <si>
    <t>Limpieza del restaurante</t>
  </si>
  <si>
    <t>RC1</t>
  </si>
  <si>
    <t>RC2</t>
  </si>
  <si>
    <t>RC3</t>
  </si>
  <si>
    <t>RC4</t>
  </si>
  <si>
    <t>RC5</t>
  </si>
  <si>
    <t>RC6</t>
  </si>
  <si>
    <t>RC7</t>
  </si>
  <si>
    <t>RC8</t>
  </si>
  <si>
    <t>RC9</t>
  </si>
  <si>
    <t>GS1</t>
  </si>
  <si>
    <t>GS2</t>
  </si>
  <si>
    <t>GS3</t>
  </si>
  <si>
    <t>GS4</t>
  </si>
  <si>
    <t>GS 5</t>
  </si>
  <si>
    <t>GS6</t>
  </si>
  <si>
    <t>GS7</t>
  </si>
  <si>
    <t>RE 1</t>
  </si>
  <si>
    <t>RE 2</t>
  </si>
  <si>
    <t>RE 3</t>
  </si>
  <si>
    <t>RE 4</t>
  </si>
  <si>
    <t>TR1 (Traducción al Español)</t>
  </si>
  <si>
    <t>Pregunta 1</t>
  </si>
  <si>
    <t>Pregunta 2</t>
  </si>
  <si>
    <t>Pregunta 3</t>
  </si>
  <si>
    <t>Pregunta 4</t>
  </si>
  <si>
    <t>Pregunta 5</t>
  </si>
  <si>
    <t>Pregunta 6</t>
  </si>
  <si>
    <t>Pregunta 7</t>
  </si>
  <si>
    <t>MD1 (Doctor en Medicina)</t>
  </si>
  <si>
    <t>MD2 (Doctor en Medicina)</t>
  </si>
  <si>
    <t>MD3 (Doctor en Medicina)</t>
  </si>
  <si>
    <t>MD4 (Doctor en Medicina)</t>
  </si>
  <si>
    <t>ES 1</t>
  </si>
  <si>
    <t>ES 2</t>
  </si>
  <si>
    <t>ES 3</t>
  </si>
  <si>
    <t>ES 4</t>
  </si>
  <si>
    <t>ES 5</t>
  </si>
  <si>
    <t>ES 6</t>
  </si>
  <si>
    <t>Evaluador</t>
  </si>
  <si>
    <t>Sección B - Normas locales</t>
  </si>
  <si>
    <t>LS1</t>
  </si>
  <si>
    <t>LS2</t>
  </si>
  <si>
    <t>LS 3</t>
  </si>
  <si>
    <t>LS 4</t>
  </si>
  <si>
    <t>LS 5</t>
  </si>
  <si>
    <t>LS6</t>
  </si>
  <si>
    <t>LS 7</t>
  </si>
  <si>
    <t xml:space="preserve"> Las superficies de los equipos y utensilios se lavan, enjuagan, desinfectan y secan al aire adecuadamente.</t>
  </si>
  <si>
    <t xml:space="preserve"> El gerente y los miembros de la tripulación comprenden el estándar de Dunkin' Brands para la salud de los empleados</t>
  </si>
  <si>
    <t xml:space="preserve"> Todos los envases de alimentos se utilizan de forma adecuada.</t>
  </si>
  <si>
    <t>Libre de inundaciones</t>
  </si>
  <si>
    <t>Se proporcionan lavabos para lavarse las manos.</t>
  </si>
  <si>
    <t>No hay contacto de las manos desnudas con alimentos listos para comer y hay guantes/barreras de un solo uso disponibles.</t>
  </si>
  <si>
    <t>ES 8</t>
  </si>
  <si>
    <t>Al brindar servicio a un huésped, ¿la tripulación está enfocada en él?</t>
  </si>
  <si>
    <t>FS-DS 1</t>
  </si>
  <si>
    <t>TR4</t>
  </si>
  <si>
    <t>FS-DS 2</t>
  </si>
  <si>
    <t>FS-DS 3</t>
  </si>
  <si>
    <t>FS-DS 4</t>
  </si>
  <si>
    <t>Seguridad alimentaria - Sistema de documentación</t>
  </si>
  <si>
    <t>Sistema de tiempo y temperatura</t>
  </si>
  <si>
    <t>Sistema de higiene y práctica profesional</t>
  </si>
  <si>
    <t>Sistema de documentación</t>
  </si>
  <si>
    <t>Sistema de Buenas Prácticas de Comercio Minorista</t>
  </si>
  <si>
    <t>Sistema de Saneamiento</t>
  </si>
  <si>
    <t>Totales de seguridad alimentaria</t>
  </si>
  <si>
    <t>Tiempo</t>
  </si>
  <si>
    <t>Persona responsable</t>
  </si>
  <si>
    <t>RE 5</t>
  </si>
  <si>
    <t>¿Están disponibles todos los elementos del menú?</t>
  </si>
  <si>
    <t xml:space="preserve"> Los documentos recibidos están completos, precisos y con acciones correctivas.</t>
  </si>
  <si>
    <t>MD5 (Doctor en Medicina)</t>
  </si>
  <si>
    <t>RC10</t>
  </si>
  <si>
    <t>¿Los contenedores de basura interiores están limpios y mantenidos adecuadamente?</t>
  </si>
  <si>
    <t>¿El área de servicio y todas las áreas de la barra trasera están limpias, en buenas condiciones, cumpliendo con los requisitos de BR y se mantienen adecuadamente?</t>
  </si>
  <si>
    <t>TR2</t>
  </si>
  <si>
    <t>TR3</t>
  </si>
  <si>
    <t>ES 7</t>
  </si>
  <si>
    <t>FS-SS 5</t>
  </si>
  <si>
    <t>Conde de los Núms.</t>
  </si>
  <si>
    <t>Sí</t>
  </si>
  <si>
    <t>Los dispositivos de control de plagas se utilizan correctamente y solo los aplica un operador de control de plagas autorizado.</t>
  </si>
  <si>
    <t>Dentro del gabinete de inmersión, ¿está disponible el FOM, hay productos correctos en stock y se están siguiendo los requisitos correctos de calidad del producto BR?</t>
  </si>
  <si>
    <t>¿El congelador vertical, la exhibición de postres, los congeladores de almacenamiento y todos los refrigeradores están limpios, en buenas condiciones y cumplen con los requisitos de BR?</t>
  </si>
  <si>
    <t>¿Están todas las palas y cucharones aprobados limpios y en buenas condiciones?</t>
  </si>
  <si>
    <t xml:space="preserve"> Se utilizan productos químicos aprobados, etiquetados y almacenados adecuadamente.</t>
  </si>
  <si>
    <t xml:space="preserve"> Todos los alimentos están dentro del código de fecha y etiquetados adecuadamente.</t>
  </si>
  <si>
    <t>¿Se utilizan de manera uniforme los 3 métodos de recogida: en "S", semicírculo y en línea recta, y se nivelan y raspan las tinas correctamente?</t>
  </si>
  <si>
    <t xml:space="preserve"> Las instalaciones en la parte trasera de la casa están limpias y mantenidas.</t>
  </si>
  <si>
    <t xml:space="preserve"> Hay instalaciones para lavarse las manos y se siguen prácticas de higiene.</t>
  </si>
  <si>
    <t>Seguridad alimentaria: sistema de control de tiempo y temperatura</t>
  </si>
  <si>
    <t>El termómetro termopar con sonda para alimentos aprobado está en uso, es preciso y está desinfectado adecuadamente.</t>
  </si>
  <si>
    <t xml:space="preserve"> Los alimentos y sus envases están protegidos de la contaminación y del contacto cruzado con alérgenos.</t>
  </si>
  <si>
    <t xml:space="preserve"> Todos los productos alimenticios están aprobados y provienen de una fuente aprobada.</t>
  </si>
  <si>
    <t xml:space="preserve"> La sección de Seguridad Alimentaria de los ROR está completa, es precisa y incluye acciones correctivas.</t>
  </si>
  <si>
    <t xml:space="preserve"> Los documentos de temperatura de mantenimiento en frío están completos, son precisos y incluyen acciones correctivas.</t>
  </si>
  <si>
    <t>Existe prueba de la documentación y los recursos de seguridad alimentaria requeridos (es decir, capacitación en comunicación de riesgos y MSDS/SDS, certificaciones de seguridad alimentaria, etc., (según lo exija la ley local)</t>
  </si>
  <si>
    <t xml:space="preserve"> Los alimentos refrigerados se mantienen a una temperatura de (35˚F a &lt;41˚F) / (&gt;2˚C a &lt;5˚C)</t>
  </si>
  <si>
    <t xml:space="preserve"> Los alimentos controlados por tiempo y temperatura para seguridad (TCS) se mantienen a la temperatura adecuada y se documentan cada cuatro horas.</t>
  </si>
  <si>
    <t>No</t>
  </si>
  <si>
    <t>N / A</t>
  </si>
  <si>
    <t>Respuesta</t>
  </si>
  <si>
    <t>Sistemas de seguridad alimentaria en el comercio minorista</t>
  </si>
  <si>
    <t>Agujas</t>
  </si>
  <si>
    <t>Categoría</t>
  </si>
  <si>
    <t>Salud e higiene de los empleados</t>
  </si>
  <si>
    <t>Hora y temperatura</t>
  </si>
  <si>
    <t/>
  </si>
  <si>
    <t>Fecha (¿Hecho?)</t>
  </si>
  <si>
    <t>Fecha</t>
  </si>
  <si>
    <t>OBJETIVO 1</t>
  </si>
  <si>
    <t>OBJETIVO 2</t>
  </si>
  <si>
    <t>OBJETIVO 3</t>
  </si>
  <si>
    <t>META:</t>
  </si>
  <si>
    <t>Nombre y ubicación de la tienda:</t>
  </si>
  <si>
    <t>IHR.1 Hay agua corriente caliente y fría disponible NOTA: Citar bajo pregunta GRP.3</t>
  </si>
  <si>
    <t>RSI.2 El gerente y los miembros del equipo están libres de enfermedades y síntomas NOTA: Citar bajo la pregunta GRP.3</t>
  </si>
  <si>
    <t>RSI.3 Libre de productos adulterados/contaminados NOTA: Citar bajo pregunta GRP.3</t>
  </si>
  <si>
    <t>IHR.4 Libre de inundaciones/respaldo de alcantarillado NOTA: Citar bajo pregunta GRP.3</t>
  </si>
  <si>
    <t>IHR.5 Libre de infestaciones de plagas que provoquen contaminación de alimentos y superficies en contacto. NOTA: Citar bajo la pregunta PM.1</t>
  </si>
  <si>
    <t>IHR.6 Restaurante cuenta con sanitizante NOTA: Citar bajo pregunta GRP.3</t>
  </si>
  <si>
    <t>IHR.7 Se proporcionan lavabos para lavarse las manos NOTA: Citar bajo pregunta GRP.3</t>
  </si>
  <si>
    <t>CS.3 (Principal) Todos los productos químicos están aprobados, etiquetados adecuadamente y almacenados correctamente.</t>
  </si>
  <si>
    <t>CS.4 (Menor) Locales exteriores e interiores (parte trasera de la casa) Las superficies que no entran en contacto con alimentos están limpias y se mantienen</t>
  </si>
  <si>
    <t>CS.5 (Menor) Todos los fregaderos y lavavajillas están instalados correctamente y se utilizan adecuadamente.</t>
  </si>
  <si>
    <t>CS.2 (Principal) El desinfectante se encuentra en la concentración adecuada en todos los lavabos, baldes, tazas y lavadoras de vajilla a baja temperatura.</t>
  </si>
  <si>
    <t>CS.6 (Crítico) Los equipos en uso y las mesas de preparación se limpian y desinfectan con la frecuencia adecuada y se mantienen</t>
  </si>
  <si>
    <t>CS.7 (Crítico) Los utensilios en uso y los artículos pequeños se limpian y desinfectan con la frecuencia adecuada y se mantienen</t>
  </si>
  <si>
    <t>EH.1 (Menor) La persona a cargo comprende los estándares de marca para enfermedades y síntomas notificables y los miembros del equipo saben qué informar.</t>
  </si>
  <si>
    <t>EH.2 (Mayor) Los lavabos para lavarse las manos están completamente abastecidos y los miembros del equipo se lavan las manos correctamente.</t>
  </si>
  <si>
    <t>EH.3 (Mayor) Los miembros del equipo están siguiendo prácticas de higiene.</t>
  </si>
  <si>
    <t>EH.4 (Crítico) Los miembros del equipo usan guantes correctamente y evitan el contacto con las manos desnudas.</t>
  </si>
  <si>
    <t>TT.2 (Principal) Control de tiempo y temperatura para seguridad (TCS) Los alimentos se manipulan adecuadamente</t>
  </si>
  <si>
    <t>TT.5 (Principal) Los termómetros están calibrados adecuadamente y en uso.</t>
  </si>
  <si>
    <r>
      <rPr>
        <sz val="16"/>
        <rFont val="Calibri"/>
        <family val="2"/>
      </rPr>
      <t xml:space="preserve"> TT.3 (Crítico) Los alimentos se cocinan a la temperatura correcta.</t>
    </r>
    <r>
      <rPr>
        <i/>
        <sz val="16"/>
        <rFont val="Calibri"/>
        <family val="2"/>
      </rPr>
      <t>NOTA: Si la comida no se cocina en este lugar, marque con un círculo los puntos obtenidos como 7</t>
    </r>
  </si>
  <si>
    <t>GRP.1 (Mayor) Los alimentos y envases se almacenan de manera que estén protegidos y se cumplen todos los requisitos de gestión de alérgenos.</t>
  </si>
  <si>
    <t>GRP.5 (Menor) El embalaje se utiliza de forma aprobada</t>
  </si>
  <si>
    <t>PM.3 (Menor) Toda la documentación requerida sobre plagas está disponible (licencia, informes, etc.)</t>
  </si>
  <si>
    <t>DOC.1 (Menor) Los documentos de temperatura de mantenimiento en frío (incluidos los registros de enfriamiento y descongelación) están completos, son precisos y incluyen acciones correctivas.</t>
  </si>
  <si>
    <r>
      <rPr>
        <sz val="16"/>
        <rFont val="Calibri"/>
        <family val="2"/>
      </rPr>
      <t xml:space="preserve"> DOC.3 (Menor) Los documentos de temperatura de mantenimiento en caliente están completos, son precisos y incluyen acciones correctivas.</t>
    </r>
    <r>
      <rPr>
        <i/>
        <sz val="16"/>
        <rFont val="Calibri"/>
        <family val="2"/>
      </rPr>
      <t>NOTA: Si no se mantiene caliente en esta ubicación, marque con un círculo los puntos obtenidos como 1</t>
    </r>
  </si>
  <si>
    <t>DOC.5 (Menor) La documentación y los recursos adicionales requeridos en materia de seguridad alimentaria están presentes y son accesibles según sea necesario.</t>
  </si>
  <si>
    <t>GRP.4 (Menor) Todos los alimentos están aprobados, dentro del código de fecha y etiquetados correctamente.</t>
  </si>
  <si>
    <t>GRP.3 (Crítico) Se han establecido normas de prevención de la contaminación y se siguen adecuadamente las prácticas para prevenir la contaminación cruzada.</t>
  </si>
  <si>
    <t>GRP.2 (Mayor) Las superficies en contacto con alimentos están protegidas de la contaminación y se manipulan adecuadamente.</t>
  </si>
  <si>
    <t>PM.1 (Crítico) El restaurante está libre de evidencia de plagas y está recibiendo servicio de control de plagas.</t>
  </si>
  <si>
    <t>PM.2 (Mayor) Todo el equipo de control de plagas requerido está presente y el servicio de control de plagas se realiza al menos una vez al mes.</t>
  </si>
  <si>
    <t>DOC.4 (Menor) Los documentos recibidos están completos, son precisos y tienen acciones correctivas.</t>
  </si>
  <si>
    <t>Evaluación de seguridad alimentaria One Inspire</t>
  </si>
  <si>
    <t>Manejo de plagas</t>
  </si>
  <si>
    <t>Puntuación: Valores en puntos</t>
  </si>
  <si>
    <t>Riesgo bajo 90% o más</t>
  </si>
  <si>
    <t>Riesgo moderado 71% – 89%</t>
  </si>
  <si>
    <t>El restaurante cumple con la mayoría de los estándares de seguridad alimentaria. Las acciones correctivas para todos los hallazgos deben tomarse dentro de los 5 días posteriores a la recepción del informe de evaluación final. Realice un seguimiento con el equipo del restaurante para asegurarse de que se corrijan las oportunidades, se capacite a los miembros del equipo, etc.</t>
  </si>
  <si>
    <t>Riesgo alto 70% o menos</t>
  </si>
  <si>
    <t>Calificaciones de riesgo</t>
  </si>
  <si>
    <t>El restaurante cumple con algunas normas de seguridad alimentaria. Las medidas correctivas para todos los hallazgos deben tomarse dentro de los 5 días posteriores a la recepción del informe de evaluación final. Es posible que sea necesario realizar una documentación de seguimiento o una nueva visita para cualquier problema que no se haya corregido en el momento.</t>
  </si>
  <si>
    <t>El restaurante no cumple con los estándares de seguridad alimentaria. Las acciones correctivas para todos los hallazgos deben tomarse dentro de los 5 días posteriores a la recepción del informe de evaluación final. Se debe realizar una nueva evaluación dentro de los 30 a 45 días para verificar que se corrijan las oportunidades y se eliminen las causas fundamentales.</t>
  </si>
  <si>
    <t>Actividades de seguimiento</t>
  </si>
  <si>
    <t>1. Cada pregunta vale 1, 5 o 7 puntos (los puntos son todo o nada) para un total de 117 puntos posibles.</t>
  </si>
  <si>
    <t>2. Riesgo inminente para la salud (IHR): No hay valores asignados a las 7 preguntas; marque dentro de la pregunta crítica sistémica apropiada, escale el problema según sea necesario y aplique acciones correctivas inmediatas. Si hay un riesgo inminente para la salud (IHR) en el momento de la evaluación, entonces la pregunta crítica correspondiente dentro de la evaluación debe marcarse con un "No", independientemente de si el IHR se cura en el momento. Si hay un IHR, la revisión continuará y se completará en su totalidad para ayudar a descubrir la causa raíz del IHR.</t>
  </si>
  <si>
    <t>Limpieza y Saneamiento</t>
  </si>
  <si>
    <t>Buenas prácticas de venta minorista</t>
  </si>
  <si>
    <t>Documentación</t>
  </si>
  <si>
    <t xml:space="preserve"> Salud e higiene de los empleados</t>
  </si>
  <si>
    <r>
      <t xml:space="preserve"> Una plantilla de plan de acción mensual de Inspire</t>
    </r>
    <r>
      <rPr>
        <sz val="14"/>
        <rFont val="Arial"/>
        <family val="2"/>
      </rPr>
      <t>Utilice los resultados de One Inspire para crear un plan de acción para cerrar las brechas con los estándares de la marca. Todo aquello que no haya obtenido una puntuación "sí" en One Inspire es una brecha. Utilice el formato de objetivo SMART (específico, medible, alcanzable, realista y oportuno).</t>
    </r>
  </si>
  <si>
    <t>CS.1 (Mayor) El agua caliente alcanza un mínimo de 85 °F (29 °C) en todos los lavamanos, 110 °F (43 °C) en los lavaplatos y 160 °F (71 °C) de temperatura superficial en todas las máquinas lavaplatos de alta temperatura.</t>
  </si>
  <si>
    <t>Puntuación FSA % y resultado de riesgo</t>
  </si>
  <si>
    <t>Curado en el momento</t>
  </si>
  <si>
    <t>0 RSI</t>
  </si>
  <si>
    <t>RSI</t>
  </si>
  <si>
    <t>RSI CIM</t>
  </si>
  <si>
    <t>100% - APROBADO -</t>
  </si>
  <si>
    <t>Yes</t>
  </si>
  <si>
    <t>Accion correctiva / Plan de accion</t>
  </si>
  <si>
    <t>Responsable</t>
  </si>
  <si>
    <t>Fecha de ejecucion prevista</t>
  </si>
  <si>
    <t>Fecha de cierre real (¿Terminado?)</t>
  </si>
  <si>
    <t>Total</t>
  </si>
  <si>
    <t>TT.1 (Crítico) Alimentos refrigerados mantenidos a 41 °F (5°C) o menos</t>
  </si>
  <si>
    <r>
      <t xml:space="preserve"> TT.4 (Crítico) Control de tiempo/temperatura para seguridad (TCS) Los alimentos en almacenamiento en caliente se mantienen a ≥ 135 °F (65°C) </t>
    </r>
    <r>
      <rPr>
        <i/>
        <sz val="16"/>
        <rFont val="Calibri"/>
        <family val="2"/>
      </rPr>
      <t>NOTA: Si no se mantiene caliente en esta ubicación, marque con un círculo los puntos obtenidos como 7</t>
    </r>
  </si>
  <si>
    <r>
      <t xml:space="preserve"> DOC.2 (Menor) Los documentos de temperatura de cocción están completos, son precisos y incluyen acciones correctivas.</t>
    </r>
    <r>
      <rPr>
        <i/>
        <sz val="16"/>
        <rFont val="Calibri"/>
        <family val="2"/>
      </rPr>
      <t>NOTA: Si no se cocina en esta ubicación, marque con un círculo los puntos obtenidos como 1</t>
    </r>
  </si>
  <si>
    <t>Nombre de la persona que completa el formulario</t>
  </si>
  <si>
    <t>Country</t>
  </si>
  <si>
    <t>MONTHLY ROR SCORE CARD</t>
  </si>
  <si>
    <t>Bahrain</t>
  </si>
  <si>
    <t>COUNTRY</t>
  </si>
  <si>
    <t>COLOMBIA</t>
  </si>
  <si>
    <t>Egypt</t>
  </si>
  <si>
    <t>MONTH</t>
  </si>
  <si>
    <t xml:space="preserve"> </t>
  </si>
  <si>
    <t>Indonesia</t>
  </si>
  <si>
    <t>Kuwait</t>
  </si>
  <si>
    <t>FOOD SAFETY</t>
  </si>
  <si>
    <t>Lebanon</t>
  </si>
  <si>
    <t>DATE</t>
  </si>
  <si>
    <t>Stores</t>
  </si>
  <si>
    <t>Imminent Health Risks (IHR)</t>
  </si>
  <si>
    <t>Sanitation System</t>
  </si>
  <si>
    <t>Malaysia</t>
  </si>
  <si>
    <t>%</t>
  </si>
  <si>
    <t>Oman</t>
  </si>
  <si>
    <t>Qatar</t>
  </si>
  <si>
    <t>Saudi Arabia</t>
  </si>
  <si>
    <t>Singapore</t>
  </si>
  <si>
    <t>South Africa</t>
  </si>
  <si>
    <t>Thailand</t>
  </si>
  <si>
    <t>UAE</t>
  </si>
  <si>
    <t>Vietnam</t>
  </si>
  <si>
    <t>Yemen</t>
  </si>
  <si>
    <t>New Zealand</t>
  </si>
  <si>
    <t>India</t>
  </si>
  <si>
    <t>AVERAGE COUNTRY'S TOTAL %</t>
  </si>
  <si>
    <t>LIMPIEZA Y ASEO</t>
  </si>
  <si>
    <t>SALUD E HIGIENE DE LOS EMPLEADOS</t>
  </si>
  <si>
    <t>TIEMPOS Y TEMPERATURAS</t>
  </si>
  <si>
    <t>BUENAS PRACTICAS DE MERCADEO</t>
  </si>
  <si>
    <t>MANEJO DE PLAGAS</t>
  </si>
  <si>
    <t>DOCUMENTACIÓN</t>
  </si>
  <si>
    <t>PUNTOS DISPONIBLES</t>
  </si>
  <si>
    <t>PUNTOS OBTENIDOS</t>
  </si>
  <si>
    <t>TOTAL</t>
  </si>
  <si>
    <t>NA</t>
  </si>
  <si>
    <t>MANTENIMIENTO</t>
  </si>
  <si>
    <t>META: PINTURA Y LIPMPIEZA</t>
  </si>
  <si>
    <t>META: LAVADO DE MANOS</t>
  </si>
  <si>
    <t>PV 180 CIUDADELA COMERCIAL UNICENTRO LOCAL 2 -158</t>
  </si>
  <si>
    <t>PV 106 CALLE 140 # 12-51 BQ A</t>
  </si>
  <si>
    <t>PV 102 CRA 12 # 89-33 LOCAL 1</t>
  </si>
  <si>
    <t>PV 290 Calle 90 No. 16-10, Local 5, Ed. 9016</t>
  </si>
  <si>
    <t xml:space="preserve">PV 276 Carrera 15 No. 92-29 local 2 </t>
  </si>
  <si>
    <t>PV 244 CALLE 100 No. 8a-49 LOCAL 129, ED. WORLD TRADE CENTER</t>
  </si>
  <si>
    <t>PV 285 Calle 100 No. 13-95, local 1er piso, Torre Empresarial FD-100</t>
  </si>
  <si>
    <t>PV 266 CARRERA 15 No. 95-55</t>
  </si>
  <si>
    <t xml:space="preserve">PV 141 AV. 13 No. 125-91- ESTACION TERPEL AUTOPISTA NORTE </t>
  </si>
  <si>
    <t>PV 225 CALLE 100 No. 19-54 LOCAL 3 EPSON</t>
  </si>
  <si>
    <t>PV 284 Carrera 45 No. 95-86, Local 1 Edif. Tokio</t>
  </si>
  <si>
    <t>PV 262 CALLE 125 No. 21A-71, LOCAL 3, EDIF. SANTA BARBARA PLAZA PH</t>
  </si>
  <si>
    <t>PV 283 AUTOPISTA NORTE #123-24 LOCAL 105, Ed. Sapiencia</t>
  </si>
  <si>
    <t>PV 226 CALLE 113 No. 7-21 TELEPORT</t>
  </si>
  <si>
    <t>PV  249 CARRRERA 7 No. 116-50 1ER PISO ED. FLOR MORADO</t>
  </si>
  <si>
    <t>PV 136 ÉXITO COUNTRY CALLE 134 # 14-51</t>
  </si>
  <si>
    <r>
      <t xml:space="preserve">CIUDADELA COMERCIAL UNICENTRO LOCAL 2 -158- </t>
    </r>
    <r>
      <rPr>
        <b/>
        <sz val="12"/>
        <color rgb="FFFF0000"/>
        <rFont val="Calibri"/>
        <family val="2"/>
      </rPr>
      <t>PV 180</t>
    </r>
  </si>
  <si>
    <r>
      <t xml:space="preserve">CALLE 140 # 12-51 BQ A- </t>
    </r>
    <r>
      <rPr>
        <b/>
        <sz val="12"/>
        <color rgb="FFFF0000"/>
        <rFont val="Calibri"/>
        <family val="2"/>
      </rPr>
      <t>PV 106</t>
    </r>
  </si>
  <si>
    <r>
      <t>Calle 90 No. 16-10, Local 5, Ed. 9016-</t>
    </r>
    <r>
      <rPr>
        <b/>
        <sz val="12"/>
        <color rgb="FFFF0000"/>
        <rFont val="Calibri"/>
        <family val="2"/>
      </rPr>
      <t>PV 290</t>
    </r>
  </si>
  <si>
    <r>
      <t>CRA 12 # 89-33 LOCAL 1-</t>
    </r>
    <r>
      <rPr>
        <b/>
        <sz val="12"/>
        <color rgb="FFFF0000"/>
        <rFont val="Calibri"/>
        <family val="2"/>
      </rPr>
      <t>PV 102</t>
    </r>
  </si>
  <si>
    <r>
      <t>Carrera 15 No. 92-29 local 2 -</t>
    </r>
    <r>
      <rPr>
        <b/>
        <sz val="12"/>
        <color rgb="FFFF0000"/>
        <rFont val="Calibri"/>
        <family val="2"/>
      </rPr>
      <t>PV 276</t>
    </r>
  </si>
  <si>
    <r>
      <t>Calle 100 No. 13-95, local 1er piso, Torre Empresarial FD-100-</t>
    </r>
    <r>
      <rPr>
        <b/>
        <sz val="12"/>
        <color rgb="FFFF0000"/>
        <rFont val="Calibri"/>
        <family val="2"/>
      </rPr>
      <t xml:space="preserve"> PV 285</t>
    </r>
  </si>
  <si>
    <r>
      <t>CARRERA 15 No. 95-55</t>
    </r>
    <r>
      <rPr>
        <b/>
        <sz val="12"/>
        <color rgb="FFFF0000"/>
        <rFont val="Calibri"/>
        <family val="2"/>
      </rPr>
      <t>-PV 266</t>
    </r>
  </si>
  <si>
    <r>
      <t xml:space="preserve">AV. 13 No. 125-91- ESTACION TERPEL AUTOPISTA NORTE </t>
    </r>
    <r>
      <rPr>
        <b/>
        <sz val="12"/>
        <color rgb="FFFF0000"/>
        <rFont val="Calibri"/>
        <family val="2"/>
      </rPr>
      <t>-PV 141</t>
    </r>
  </si>
  <si>
    <r>
      <t>CALLE 100 No. 19-54 LOCAL 3 EPSON-</t>
    </r>
    <r>
      <rPr>
        <b/>
        <sz val="12"/>
        <color rgb="FFFF0000"/>
        <rFont val="Calibri"/>
        <family val="2"/>
      </rPr>
      <t xml:space="preserve"> PV 225</t>
    </r>
  </si>
  <si>
    <r>
      <t>Carrera 45 No. 95-86, Local 1 Edif. Tokio-</t>
    </r>
    <r>
      <rPr>
        <b/>
        <sz val="12"/>
        <color rgb="FFFF0000"/>
        <rFont val="Calibri"/>
        <family val="2"/>
      </rPr>
      <t xml:space="preserve"> PV 284</t>
    </r>
  </si>
  <si>
    <r>
      <t>CALLE 125 No. 21A-71, LOCAL 3, EDIF. SANTA BARBARA PLAZA PH-</t>
    </r>
    <r>
      <rPr>
        <b/>
        <sz val="12"/>
        <color rgb="FFFF0000"/>
        <rFont val="Calibri"/>
        <family val="2"/>
      </rPr>
      <t>PV 262</t>
    </r>
  </si>
  <si>
    <r>
      <t>AUTOPISTA NORTE #123-24 LOCAL 105, Ed. Sapiencia-</t>
    </r>
    <r>
      <rPr>
        <b/>
        <sz val="12"/>
        <color rgb="FFFF0000"/>
        <rFont val="Calibri"/>
        <family val="2"/>
      </rPr>
      <t>PV 283</t>
    </r>
  </si>
  <si>
    <r>
      <t>CALLE 113 No. 7-21 TELEPORT-</t>
    </r>
    <r>
      <rPr>
        <b/>
        <sz val="12"/>
        <color rgb="FFFF0000"/>
        <rFont val="Calibri"/>
        <family val="2"/>
      </rPr>
      <t>PV 226</t>
    </r>
  </si>
  <si>
    <r>
      <t>CARRRERA 7 No. 116-50 1ER PISO ED. FLOR MORADO-</t>
    </r>
    <r>
      <rPr>
        <b/>
        <sz val="12"/>
        <color rgb="FFFF0000"/>
        <rFont val="Calibri"/>
        <family val="2"/>
      </rPr>
      <t>PV 249</t>
    </r>
  </si>
  <si>
    <r>
      <t>ÉXITO COUNTRY CALLE 134 # 14-51-</t>
    </r>
    <r>
      <rPr>
        <b/>
        <sz val="12"/>
        <color rgb="FFFF0000"/>
        <rFont val="Calibri"/>
        <family val="2"/>
      </rPr>
      <t>PV 136</t>
    </r>
  </si>
  <si>
    <r>
      <t xml:space="preserve">SOKO 147 </t>
    </r>
    <r>
      <rPr>
        <b/>
        <sz val="12"/>
        <color rgb="FFFF0000"/>
        <rFont val="Calibri"/>
        <family val="2"/>
      </rPr>
      <t>P,V 295</t>
    </r>
  </si>
  <si>
    <r>
      <t>CALLE 127 A NIZA  PV</t>
    </r>
    <r>
      <rPr>
        <b/>
        <sz val="12"/>
        <color rgb="FFFF0000"/>
        <rFont val="Calibri"/>
        <family val="2"/>
      </rPr>
      <t xml:space="preserve"> 296</t>
    </r>
  </si>
  <si>
    <t xml:space="preserve">JENNIFER QUINTERO - CAROLINA ZAMORA </t>
  </si>
  <si>
    <t xml:space="preserve">EVERLEY GIL - CAROLINA ZAMORA </t>
  </si>
  <si>
    <t xml:space="preserve">CAMILO TORRES - CAROLINA ZAMORA CASTILLO </t>
  </si>
  <si>
    <t xml:space="preserve">KAREN NARVAEZ - CAROLINA ZAMORA </t>
  </si>
  <si>
    <t xml:space="preserve">CAROLINA MENDEZ - CAROLINA ZAMORA </t>
  </si>
  <si>
    <t xml:space="preserve">KAREN MORENO - CAROLINA ZAMORA </t>
  </si>
  <si>
    <t xml:space="preserve">JENNIFER QUINTERO - CAROLINA ZAMORA CASTILLO </t>
  </si>
  <si>
    <t>PV 295 EDIFICIO SOKO CALLE 147 #19-45</t>
  </si>
  <si>
    <t xml:space="preserve">PV 296 EDIFICIO BAVARIA CALLE 127 </t>
  </si>
  <si>
    <t>PV 257 ALCALA CALLE 134</t>
  </si>
  <si>
    <r>
      <t xml:space="preserve">Calle 135 #45-21 - </t>
    </r>
    <r>
      <rPr>
        <b/>
        <sz val="12"/>
        <color rgb="FFFF0000"/>
        <rFont val="Calibri"/>
        <family val="2"/>
      </rPr>
      <t>PV 257</t>
    </r>
  </si>
  <si>
    <t xml:space="preserve">DANNA MILENA MARTINEZ WALTER - CAROLINA ZAMORA CASTILLO </t>
  </si>
  <si>
    <t xml:space="preserve">DANNA MARTINEZ - CAROLINA ZAMORA </t>
  </si>
  <si>
    <t xml:space="preserve">CAROLINA MENDEZ  - CAROLINA ZAMORA CASTILLO </t>
  </si>
  <si>
    <t>U</t>
  </si>
  <si>
    <t xml:space="preserve">CAMILO TORRES  - CAROLINA ZAMORA </t>
  </si>
  <si>
    <t xml:space="preserve">JULIAN RODRIGUEZ  - CAROLINA ZAMORA </t>
  </si>
  <si>
    <r>
      <t>CALLE 100 No. 8a-49 LOCAL 129, ED. WORLD TRADE CENTER</t>
    </r>
    <r>
      <rPr>
        <b/>
        <sz val="12"/>
        <color rgb="FFFF0000"/>
        <rFont val="Calibri"/>
        <family val="2"/>
      </rPr>
      <t>-PV 244</t>
    </r>
  </si>
  <si>
    <t xml:space="preserve">ESTEBAN CORTES  - CAROLINA ZAMORA </t>
  </si>
  <si>
    <t xml:space="preserve">No hay constante lavado de manos </t>
  </si>
  <si>
    <t>No da la concentracion de sanitizante en recipientes</t>
  </si>
  <si>
    <t xml:space="preserve">No hay lavado de manos en cada cambio de actividad </t>
  </si>
  <si>
    <t xml:space="preserve">Las pocetas se encuentran cona acumulacion de suciedad </t>
  </si>
  <si>
    <t xml:space="preserve">Tablero de comunicaciones incompleto y faltan documentos en carpeta legal </t>
  </si>
  <si>
    <t xml:space="preserve">No hay flujo de agua caliente en poceta de lavado de manos </t>
  </si>
  <si>
    <t xml:space="preserve">No hay constate desinfeccion de superficies </t>
  </si>
  <si>
    <t xml:space="preserve">JENNIFER QUINTERO </t>
  </si>
  <si>
    <t xml:space="preserve">EVERLEY GIL </t>
  </si>
  <si>
    <t xml:space="preserve">ESTEBAN CORTES </t>
  </si>
  <si>
    <t xml:space="preserve">JULIAN RODRIGUEZ </t>
  </si>
  <si>
    <t>CAMILO TORRES</t>
  </si>
  <si>
    <t>KAREN NARVAEZ</t>
  </si>
  <si>
    <t xml:space="preserve">KAREN NARVAEZ </t>
  </si>
  <si>
    <t>DANNA MARTINEZ</t>
  </si>
  <si>
    <t xml:space="preserve">KAREN MORENO </t>
  </si>
  <si>
    <t xml:space="preserve">INMEDIATO </t>
  </si>
  <si>
    <t xml:space="preserve">Hacer retroliemntacion y seguimiento sobre procesos de sanitizante </t>
  </si>
  <si>
    <t xml:space="preserve">Realizar capacitacion t retroaliemntacion sobre RIS y enfermedades </t>
  </si>
  <si>
    <t xml:space="preserve">Hacer capacitacion continua y vigoalancia al proceso de lavado de manos </t>
  </si>
  <si>
    <t xml:space="preserve">inmediato </t>
  </si>
  <si>
    <t xml:space="preserve">Realizar capacitacion  y revision diaria en rotulacion </t>
  </si>
  <si>
    <t xml:space="preserve">Hacer segumineto y capacitacion continua sobre los procesos de rotulacion </t>
  </si>
  <si>
    <t xml:space="preserve">Soliictar revision de pedal para poceta de lavado de manos </t>
  </si>
  <si>
    <t xml:space="preserve">Realizar cronograma de aseo donde se incluya lavado de tapas de utensilios </t>
  </si>
  <si>
    <t xml:space="preserve">Reforzar limpieza en rincones para evitar exceso de polvo </t>
  </si>
  <si>
    <t xml:space="preserve">Soliictra fumigacion y mantenimiento para cerrar huecos que ayuden a la proiferacion de plagas </t>
  </si>
  <si>
    <t xml:space="preserve">Realizar constante retroalimentacion sobre procesos de higiene y lavado de manos </t>
  </si>
  <si>
    <t>TEMPERATURA POCETA DE LAVADO DE UTENSILIOS EN 40 C°</t>
  </si>
  <si>
    <t xml:space="preserve">CONCENTRACION EN RECIPIENTE LIMPIASECOS EN 50 PPM </t>
  </si>
  <si>
    <t>REFORZAR RIESGOS INMINENTES Y ENFERMEDADES</t>
  </si>
  <si>
    <t xml:space="preserve">REFORZAR LAVADO DE MANOS </t>
  </si>
  <si>
    <t xml:space="preserve">PRODUCTO CON ROTULO MAL ELABORADO, PRODUCTO QUE NO TIENE RÓTULO DE DESCONGELACIÓN </t>
  </si>
  <si>
    <t xml:space="preserve">FALTA DE DOCUMENTACION DE PROVEEDOR DE PLAGAS Y CERTIFICADOS </t>
  </si>
  <si>
    <t xml:space="preserve">RETROALIMENTACIÓN Y REVISIÓN CONSTANTE </t>
  </si>
  <si>
    <t xml:space="preserve">ESTEBAN CORTÉS </t>
  </si>
  <si>
    <t xml:space="preserve">REFUERZO Y REINDUCCIÓN DE LA IMPORTANCIA </t>
  </si>
  <si>
    <t xml:space="preserve">PROGRAMACIÓN DE TIEMPOS PARA ESTA TAREA Y EN CAMBIO DE ACTIVIDADES </t>
  </si>
  <si>
    <t xml:space="preserve">GENERAL LLAMADA DE ATENCIÓN POR ESCRITO HACIENDO CLARIDAD DE CÓMO SE HACE CORRECTAMENTE UN RÓTULO </t>
  </si>
  <si>
    <t>REVISIÓN DE DOCUMENTACIÓN MENSUALMENTE Y COMPLETAR CON DOCUMENTOS FALTANTES</t>
  </si>
  <si>
    <t>31/09/2026</t>
  </si>
  <si>
    <t xml:space="preserve">LAS POCETAS SE ENCUENTRAN SUCIAS </t>
  </si>
  <si>
    <t xml:space="preserve">SE EVIDENCIAN JARRAS CON LECHE Y ESPATULA GUARDADA CON RESIDUOS </t>
  </si>
  <si>
    <t>EL PERSONAL NO TIENE CLARO LOS RIS Y LAS ENFERMEDADES</t>
  </si>
  <si>
    <t xml:space="preserve">NO SE LAVAN LAS MANOS CON FRECUENCIA, NO SE QUITAN EL DELANTAL PARA REALIZAR EL ASEO </t>
  </si>
  <si>
    <t xml:space="preserve">REFORZAR EL LAVADO DE POCETAS CON MAYOR FRECUENCIA </t>
  </si>
  <si>
    <t xml:space="preserve">REALIZAR REFUERZO SOBRE EL LAVADO DE UTENSILIOS CON FRECUENCIA DE 4 HORAS O MENOR DE SER NECESARIO </t>
  </si>
  <si>
    <t xml:space="preserve">REALIZAR CAPACITACION CONTNUA SOBRE LOS RIS Y ENFERMADES </t>
  </si>
  <si>
    <t xml:space="preserve">REALIAR RETROALIMENTACION SOBRE PRACTICAS DE HIGIENE </t>
  </si>
  <si>
    <t>No dio la concentracion  se expica forma correcta de preparacion del sanitizante tanto en poceta como en galon</t>
  </si>
  <si>
    <t xml:space="preserve">se ivendicia  que en el galon de fregadero esta con jabon de mano se realiza correcion </t>
  </si>
  <si>
    <t>faltaban temperaturas de entrada a las 6 am</t>
  </si>
  <si>
    <t xml:space="preserve"> Se toma temperatura a producto de panader ,se realiza capacitacion de los productos correctos a tomar  temperatura  como huevo sausage ,flat y wrap</t>
  </si>
  <si>
    <t>rotulos vencido de las 6 am</t>
  </si>
  <si>
    <t xml:space="preserve">REALIAZAR REVISION DIARIA Y REFUERZO EN LA CONCENTRACION DE SANITIZANTE </t>
  </si>
  <si>
    <t xml:space="preserve">REALIZAR RETROAIEMNTACION SOBRE JABONES Y QUIMICOS Y SU FORMA DE USO </t>
  </si>
  <si>
    <t xml:space="preserve">REALIZAR REVISION DIARIA SOBRE LA TOMA DE TEMPERATURA GENERAR LLAMADOS DE ATENCION </t>
  </si>
  <si>
    <t>SOLICITAR REVISION DE TURBO PARA PROGRAAR TEMPERATURA DE COCCION 74C°</t>
  </si>
  <si>
    <t xml:space="preserve"> Poca concentracion. Realizar el cambio de sanitizante cada 4 horas en posetas, aspersor y  portalimpiasecos.</t>
  </si>
  <si>
    <t>No se evidencia el tema del lavado de mano en cada cambio de actividad .</t>
  </si>
  <si>
    <t xml:space="preserve">Termometro, intermitente por temas de bateria y posible descalibracion en temperatura. </t>
  </si>
  <si>
    <t>Rotulos con cinta en la leche de almendras.</t>
  </si>
  <si>
    <t xml:space="preserve">eor incompetos </t>
  </si>
  <si>
    <t xml:space="preserve">realizar capacitacion continua y revision sobre revision de concetracion </t>
  </si>
  <si>
    <t>reforzar lavado de manos y retroalimentar la importancia de este ejercicio</t>
  </si>
  <si>
    <t xml:space="preserve">Comprar baterias para el cambio de termometro </t>
  </si>
  <si>
    <t>Eliminar producto con stickers en cinta y retroaliemntar del correcto uso de stockers en productos</t>
  </si>
  <si>
    <t xml:space="preserve">Imprimir los  ultimos 12 EOR Y guaradr en carpeta </t>
  </si>
  <si>
    <t xml:space="preserve">SE ENCUENTRA TE CHAI CON ROTULACION A UN MES Y JARABE DE MANDARINA CON FECHA INICIO 08/08/26 FECHA V:08/08/26.  </t>
  </si>
  <si>
    <t>Hacer capacitacion continua sobre procesos de higiene</t>
  </si>
  <si>
    <t xml:space="preserve">Hacer retroalimentacion y revision continua sobre rotulacion </t>
  </si>
  <si>
    <t>Reforzar limpieza de rincones en la parte exterior de vitrina</t>
  </si>
  <si>
    <t xml:space="preserve">Se evidencia exceso de residuos en rincones de parte exterios </t>
  </si>
  <si>
    <t xml:space="preserve">Metales manchados y sucios </t>
  </si>
  <si>
    <t xml:space="preserve">La rotulacion no tiene informacion completa, jarabe de pistacho sin rotulo </t>
  </si>
  <si>
    <t>Solicitar guia de limpieza actualizada</t>
  </si>
  <si>
    <t xml:space="preserve">Se evidencia producto congelado en temperatura ambiente </t>
  </si>
  <si>
    <t>Hacer seguimiento a diario del lavado de pocetas y reprogramar con mayor continuidad el lavado</t>
  </si>
  <si>
    <t xml:space="preserve">Reforzar exigencia sobre lavado de manos en cada cambio de actividad </t>
  </si>
  <si>
    <t xml:space="preserve">Hacer capacitacion de trazabilidad de productos congelados y correcta rotulacion </t>
  </si>
  <si>
    <t>Generar retroalimetacion sobre la forma crrecta de rotular</t>
  </si>
  <si>
    <t xml:space="preserve">JULIAN TORRES  - CAROLINA ZAMORA </t>
  </si>
  <si>
    <t xml:space="preserve">Te en polvo sin rotulo. Bottellon de agua sin rotulo. Azucar donuts sin rotulo </t>
  </si>
  <si>
    <t xml:space="preserve">Jabonera con residuos de suciedad. Espatula almacenada con residuos de queso. </t>
  </si>
  <si>
    <t>Falta documentacion de certificados de fumigacion desde diciembre 2025</t>
  </si>
  <si>
    <t xml:space="preserve">Faltan documentos de manipulacion de Jhon y Julian </t>
  </si>
  <si>
    <t>Paredes con exceso de suciedad, pocetas con posibilidades de mejora en limpiza</t>
  </si>
  <si>
    <t xml:space="preserve">Programar con mayo frecuenncia el lavado de paredes y pocetas </t>
  </si>
  <si>
    <t xml:space="preserve">Reforzar lavado de jabonera con mayor frecuencia, poner en cronograma de aseo </t>
  </si>
  <si>
    <t xml:space="preserve">Exigir cn mayo frecuencia el lavado de manos en cambios de actividad </t>
  </si>
  <si>
    <t xml:space="preserve">Imprimir y archivar ibfirmacon faltante en caroeta de snaidad alimnetaria </t>
  </si>
  <si>
    <t xml:space="preserve">Reforzar el conocimiento en rotulacion y hacerseguimiento continuo </t>
  </si>
  <si>
    <t>Reforzar conocimiento de RIS y enfermedades</t>
  </si>
  <si>
    <t xml:space="preserve">Reforzar limpieza en puertas, exceso de polvo, poceta de lavado de traperos sucia. Reforzar lavado de cajones. </t>
  </si>
  <si>
    <t>Rotulacion debe ser directa en el empaque</t>
  </si>
  <si>
    <t>No hay tablero de comunicaciones</t>
  </si>
  <si>
    <t xml:space="preserve">Nveras con empaques llenos de residuos </t>
  </si>
  <si>
    <t xml:space="preserve">Faltan certificados de fumigacion </t>
  </si>
  <si>
    <t xml:space="preserve">Poner en cronograma el lavado de paredes </t>
  </si>
  <si>
    <t xml:space="preserve">Reforzar el lavado de neveras y emques </t>
  </si>
  <si>
    <t xml:space="preserve">Hacer capacitacion continua sobre RIS y enfermedades </t>
  </si>
  <si>
    <t xml:space="preserve">Hacer capacitacion continua sobre los procesos de rotulacion </t>
  </si>
  <si>
    <t xml:space="preserve">Imprimir y anexar documentos faltantes </t>
  </si>
  <si>
    <t xml:space="preserve">No hay limpiasecos </t>
  </si>
  <si>
    <t xml:space="preserve">No hay sanitizante hecho </t>
  </si>
  <si>
    <t>Se evidencian jarabes de refreshers vencidos</t>
  </si>
  <si>
    <t xml:space="preserve">Se evidencian jarras medidoras con residuos de prepraciones pasadas </t>
  </si>
  <si>
    <t>Carpeta de sanidad alimentaria incomleta</t>
  </si>
  <si>
    <t xml:space="preserve">no se evidencian certificados de fumigacion de agosto y Julio </t>
  </si>
  <si>
    <t xml:space="preserve">Personal guarda uniformes en el almacem </t>
  </si>
  <si>
    <t xml:space="preserve">Solicitar limpisecos </t>
  </si>
  <si>
    <t xml:space="preserve">Realizar sanitizante </t>
  </si>
  <si>
    <t xml:space="preserve">Lavar utensilios que cuenta con residuos </t>
  </si>
  <si>
    <t xml:space="preserve">Hacer llamado de atencuion y retroalimentacion sobre procesos d higiene con el uniforme </t>
  </si>
  <si>
    <t xml:space="preserve">Botar producto vencido y generar descuento si se requiere </t>
  </si>
  <si>
    <t>Imprimir documentacion faltante y anexar en carpetas</t>
  </si>
  <si>
    <t xml:space="preserve">Se evidencia residuos de leche en jarras </t>
  </si>
  <si>
    <t>Las pocetas se encuentran con residuos de suciedad</t>
  </si>
  <si>
    <t xml:space="preserve">El perosnal no recnce los RIS </t>
  </si>
  <si>
    <t xml:space="preserve">No se quitan el delantal para hacer aseo </t>
  </si>
  <si>
    <t xml:space="preserve">Almojabanas sin rotulo </t>
  </si>
  <si>
    <t xml:space="preserve">Hacer revision diaria de sanitiznte y hacer retroalimentacion </t>
  </si>
  <si>
    <t xml:space="preserve">Reforzar lavado de poceta y cambiar cronograma para mejorar frecuencia </t>
  </si>
  <si>
    <t xml:space="preserve">Hacer Capacitacion continua sobre las enfermedades y RIS </t>
  </si>
  <si>
    <t xml:space="preserve">Hacer revision diaria sobre rotulacion y constante retroaliemtacion </t>
  </si>
  <si>
    <t xml:space="preserve">Hacer seguiienti diario y retroaliemntacion sobre la forma adecuada de alamacener quimicos </t>
  </si>
  <si>
    <t xml:space="preserve">Se evidencia quimico que no pertenece a los aprobados </t>
  </si>
  <si>
    <t>Concentracion de sanitizante 50 PPM en recipiente de limpiasecos</t>
  </si>
  <si>
    <t xml:space="preserve">No hay lavado frecuente de manos </t>
  </si>
  <si>
    <t>Azucar donuts sin rotulo</t>
  </si>
  <si>
    <t xml:space="preserve">Tablero de comunicaciones incompleto </t>
  </si>
  <si>
    <t>No hay constante desinfeccion del area</t>
  </si>
  <si>
    <t xml:space="preserve">Hacer seguimiento y revision diaria a concentracion de sanitizante </t>
  </si>
  <si>
    <t xml:space="preserve">Eliminar queimicos que no estan aprobados y generar retroaliemntacion </t>
  </si>
  <si>
    <t xml:space="preserve">Hacer capacitacion continua y seguimiento al lavado de manos </t>
  </si>
  <si>
    <t>No hay lavado de manos con frecuencia</t>
  </si>
  <si>
    <t xml:space="preserve">Techo se encuentra con residuos de polvo </t>
  </si>
  <si>
    <t>Nevera de exhibion se encuentra con temoeratura en 9c°</t>
  </si>
  <si>
    <t xml:space="preserve">Programar limpiesa de techo con mantenimineto </t>
  </si>
  <si>
    <t xml:space="preserve">Soliictar revision de nevera de eshobcion </t>
  </si>
  <si>
    <t xml:space="preserve">Hacer capacitacion continua y seguimiento al lavado de manos continuo </t>
  </si>
  <si>
    <t xml:space="preserve">Las donuts de bodega no cuentan con canastillas y mantel canasta que evite contamiencion </t>
  </si>
  <si>
    <t xml:space="preserve">No hay lavado de manos constante </t>
  </si>
  <si>
    <t xml:space="preserve">Realizar constante capacitacion para el lavado de manos </t>
  </si>
  <si>
    <t>SEPTIEMBRE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</si>
</sst>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400]h:mm:ss\ AM/PM"/>
  </numFmts>
  <fonts count="62">
    <font>
      <sz val="11"/>
      <color theme="1"/>
      <name val="Calibri"/>
      <family val="2"/>
      <scheme val="minor"/>
    </font>
    <font>
      <b/>
      <sz val="11"/>
      <color theme="1"/>
      <name val="Calibri"/>
      <family val="2"/>
      <scheme val="minor"/>
    </font>
    <font>
      <sz val="11"/>
      <color theme="1"/>
      <name val="Cambria"/>
      <family val="1"/>
      <scheme val="major"/>
    </font>
    <font>
      <b/>
      <sz val="12"/>
      <color theme="1"/>
      <name val="Cambria"/>
      <family val="1"/>
      <scheme val="major"/>
    </font>
    <font>
      <sz val="11"/>
      <color rgb="FF000000"/>
      <name val="Calibri"/>
      <family val="2"/>
      <scheme val="minor"/>
    </font>
    <font>
      <b/>
      <sz val="12"/>
      <color theme="1"/>
      <name val="Calibri"/>
      <family val="2"/>
      <scheme val="minor"/>
    </font>
    <font>
      <sz val="11"/>
      <color rgb="FF000000"/>
      <name val="Cambria"/>
      <family val="1"/>
      <scheme val="major"/>
    </font>
    <font>
      <b/>
      <sz val="11.5"/>
      <color theme="1"/>
      <name val="Calibri"/>
      <family val="2"/>
      <scheme val="minor"/>
    </font>
    <font>
      <sz val="12"/>
      <color theme="1"/>
      <name val="Cambria"/>
      <family val="1"/>
      <scheme val="major"/>
    </font>
    <font>
      <b/>
      <sz val="11"/>
      <color rgb="FF000000"/>
      <name val="Calibri"/>
      <family val="2"/>
      <scheme val="minor"/>
    </font>
    <font>
      <sz val="11"/>
      <color theme="0"/>
      <name val="Calibri"/>
      <family val="2"/>
      <scheme val="minor"/>
    </font>
    <font>
      <sz val="11"/>
      <name val="Calibri"/>
      <family val="2"/>
      <scheme val="minor"/>
    </font>
    <font>
      <sz val="9"/>
      <color rgb="FF000000"/>
      <name val="Calibri"/>
      <family val="2"/>
      <scheme val="minor"/>
    </font>
    <font>
      <sz val="9"/>
      <color theme="1"/>
      <name val="Calibri"/>
      <family val="2"/>
      <scheme val="minor"/>
    </font>
    <font>
      <sz val="11"/>
      <color rgb="FFC5D8FF"/>
      <name val="Cambria"/>
      <family val="1"/>
      <scheme val="major"/>
    </font>
    <font>
      <sz val="11"/>
      <color theme="0"/>
      <name val="Cambria"/>
      <family val="1"/>
      <scheme val="major"/>
    </font>
    <font>
      <b/>
      <sz val="11"/>
      <color theme="3"/>
      <name val="Calibri"/>
      <family val="2"/>
      <scheme val="minor"/>
    </font>
    <font>
      <b/>
      <sz val="9"/>
      <color theme="1"/>
      <name val="Calibri"/>
      <family val="2"/>
      <scheme val="minor"/>
    </font>
    <font>
      <b/>
      <sz val="12"/>
      <color theme="3"/>
      <name val="Calibri"/>
      <family val="2"/>
      <scheme val="minor"/>
    </font>
    <font>
      <sz val="11"/>
      <color rgb="FF000000"/>
      <name val="Calibri"/>
      <family val="2"/>
    </font>
    <font>
      <sz val="11"/>
      <color theme="1"/>
      <name val="Calibri"/>
      <family val="2"/>
      <scheme val="minor"/>
    </font>
    <font>
      <sz val="10"/>
      <name val="Arial"/>
      <family val="2"/>
    </font>
    <font>
      <sz val="14"/>
      <name val="Arial"/>
      <family val="2"/>
    </font>
    <font>
      <b/>
      <sz val="14"/>
      <color theme="0"/>
      <name val="Arial"/>
      <family val="2"/>
    </font>
    <font>
      <b/>
      <sz val="14"/>
      <name val="Arial"/>
      <family val="2"/>
    </font>
    <font>
      <b/>
      <sz val="16"/>
      <name val="Arial"/>
      <family val="2"/>
    </font>
    <font>
      <sz val="16"/>
      <name val="Calibri"/>
      <family val="2"/>
    </font>
    <font>
      <i/>
      <sz val="16"/>
      <name val="Calibri"/>
      <family val="2"/>
    </font>
    <font>
      <b/>
      <sz val="12"/>
      <color theme="0"/>
      <name val="Arial"/>
      <family val="2"/>
    </font>
    <font>
      <b/>
      <sz val="12"/>
      <name val="Arial"/>
      <family val="2"/>
    </font>
    <font>
      <b/>
      <sz val="18"/>
      <name val="Arial"/>
      <family val="2"/>
    </font>
    <font>
      <b/>
      <sz val="18"/>
      <color theme="1"/>
      <name val="Arial"/>
      <family val="2"/>
    </font>
    <font>
      <b/>
      <sz val="16"/>
      <name val="Calibri"/>
      <family val="2"/>
    </font>
    <font>
      <sz val="14"/>
      <name val="Calibri"/>
      <family val="2"/>
    </font>
    <font>
      <sz val="14"/>
      <name val="Calibri"/>
      <family val="2"/>
      <scheme val="minor"/>
    </font>
    <font>
      <sz val="8"/>
      <name val="Calibri"/>
      <family val="2"/>
      <scheme val="minor"/>
    </font>
    <font>
      <b/>
      <sz val="36"/>
      <color rgb="FFC00000"/>
      <name val="Arial"/>
      <family val="2"/>
    </font>
    <font>
      <sz val="11"/>
      <color rgb="FF000000"/>
      <name val="Arial"/>
      <family val="2"/>
    </font>
    <font>
      <sz val="10"/>
      <color rgb="FF000000"/>
      <name val="Arial"/>
      <family val="2"/>
    </font>
    <font>
      <b/>
      <sz val="11"/>
      <color rgb="FF000000"/>
      <name val="Calibri"/>
      <family val="2"/>
    </font>
    <font>
      <sz val="14"/>
      <color rgb="FFFFFFFF"/>
      <name val="Calibri"/>
      <family val="2"/>
    </font>
    <font>
      <sz val="12"/>
      <color rgb="FFFFFFFF"/>
      <name val="Calibri"/>
      <family val="2"/>
    </font>
    <font>
      <b/>
      <sz val="9"/>
      <color rgb="FF000000"/>
      <name val="Arimo"/>
    </font>
    <font>
      <b/>
      <sz val="16"/>
      <color rgb="FF000000"/>
      <name val="Arimo"/>
    </font>
    <font>
      <b/>
      <sz val="11"/>
      <color rgb="FFFFFFFF"/>
      <name val="Calibri"/>
      <family val="2"/>
    </font>
    <font>
      <b/>
      <sz val="9"/>
      <color rgb="FF000000"/>
      <name val="Calibri"/>
      <family val="2"/>
    </font>
    <font>
      <sz val="11"/>
      <color rgb="FFFFFFFF"/>
      <name val="Calibri"/>
      <family val="2"/>
    </font>
    <font>
      <b/>
      <sz val="12"/>
      <color rgb="FFFFFFFF"/>
      <name val="Calibri"/>
      <family val="2"/>
    </font>
    <font>
      <sz val="8"/>
      <color rgb="FF000000"/>
      <name val="Calibri"/>
      <family val="2"/>
    </font>
    <font>
      <b/>
      <sz val="12"/>
      <color rgb="FF000000"/>
      <name val="Arial"/>
      <family val="2"/>
    </font>
    <font>
      <b/>
      <sz val="12"/>
      <color rgb="FF000000"/>
      <name val="Calibri"/>
      <family val="2"/>
    </font>
    <font>
      <u/>
      <sz val="10"/>
      <color rgb="FF000000"/>
      <name val="Arial"/>
      <family val="2"/>
    </font>
    <font>
      <b/>
      <sz val="11"/>
      <color rgb="FF17365D"/>
      <name val="Calibri"/>
      <family val="2"/>
    </font>
    <font>
      <b/>
      <sz val="11"/>
      <color theme="0"/>
      <name val="Calibri"/>
      <family val="2"/>
    </font>
    <font>
      <b/>
      <sz val="10"/>
      <name val="Arial"/>
      <family val="2"/>
    </font>
    <font>
      <b/>
      <sz val="12"/>
      <color rgb="FFFF0000"/>
      <name val="Calibri"/>
      <family val="2"/>
    </font>
    <font>
      <b/>
      <sz val="10"/>
      <color rgb="FF000000"/>
      <name val="Arial"/>
      <family val="2"/>
    </font>
    <font>
      <sz val="11"/>
      <name val="Arial"/>
      <family val="2"/>
    </font>
    <font>
      <b/>
      <sz val="14"/>
      <color theme="1"/>
      <name val="Arial"/>
      <family val="2"/>
    </font>
    <font>
      <sz val="11"/>
      <name val="Calibri"/>
      <family val="2"/>
    </font>
    <font>
      <sz val="14"/>
      <color theme="1"/>
      <name val="Arial"/>
      <family val="2"/>
    </font>
    <font>
      <b/>
      <sz val="14"/>
      <name val="Arial"/>
      <family val="2"/>
      <charset val="1"/>
    </font>
  </fonts>
  <fills count="44">
    <fill>
      <patternFill patternType="none"/>
    </fill>
    <fill>
      <patternFill patternType="gray125"/>
    </fill>
    <fill>
      <patternFill patternType="solid">
        <fgColor theme="0"/>
        <bgColor indexed="64"/>
      </patternFill>
    </fill>
    <fill>
      <patternFill patternType="solid">
        <fgColor rgb="FFF7AFDC"/>
        <bgColor indexed="64"/>
      </patternFill>
    </fill>
    <fill>
      <patternFill patternType="solid">
        <fgColor rgb="FFC5D8FF"/>
        <bgColor indexed="64"/>
      </patternFill>
    </fill>
    <fill>
      <patternFill patternType="solid">
        <fgColor rgb="FFFFFF66"/>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rgb="FF3F1F20"/>
        <bgColor indexed="64"/>
      </patternFill>
    </fill>
    <fill>
      <patternFill patternType="solid">
        <fgColor rgb="FFFFE5E7"/>
        <bgColor indexed="64"/>
      </patternFill>
    </fill>
    <fill>
      <patternFill patternType="solid">
        <fgColor rgb="FFFF0000"/>
        <bgColor indexed="64"/>
      </patternFill>
    </fill>
    <fill>
      <patternFill patternType="solid">
        <fgColor rgb="FFFFC000"/>
        <bgColor indexed="64"/>
      </patternFill>
    </fill>
    <fill>
      <patternFill patternType="solid">
        <fgColor theme="5"/>
        <bgColor indexed="64"/>
      </patternFill>
    </fill>
    <fill>
      <patternFill patternType="solid">
        <fgColor rgb="FF00B050"/>
        <bgColor indexed="64"/>
      </patternFill>
    </fill>
    <fill>
      <patternFill patternType="solid">
        <fgColor rgb="FFBB4033"/>
        <bgColor indexed="64"/>
      </patternFill>
    </fill>
    <fill>
      <patternFill patternType="solid">
        <fgColor rgb="FF244061"/>
      </patternFill>
    </fill>
    <fill>
      <patternFill patternType="solid">
        <fgColor rgb="FFE36C09"/>
      </patternFill>
    </fill>
    <fill>
      <patternFill patternType="solid">
        <fgColor rgb="FFFF0000"/>
      </patternFill>
    </fill>
    <fill>
      <patternFill patternType="solid">
        <fgColor rgb="FFD99594"/>
      </patternFill>
    </fill>
    <fill>
      <patternFill patternType="solid">
        <fgColor rgb="FFFFC000"/>
      </patternFill>
    </fill>
    <fill>
      <patternFill patternType="solid">
        <fgColor rgb="FFB2A1C7"/>
      </patternFill>
    </fill>
    <fill>
      <patternFill patternType="solid">
        <fgColor rgb="FF76923C"/>
      </patternFill>
    </fill>
    <fill>
      <patternFill patternType="solid">
        <fgColor rgb="FF8DB3E2"/>
      </patternFill>
    </fill>
    <fill>
      <patternFill patternType="solid">
        <fgColor rgb="FF7030A0"/>
      </patternFill>
    </fill>
    <fill>
      <patternFill patternType="solid">
        <fgColor rgb="FF7F7F7F"/>
      </patternFill>
    </fill>
    <fill>
      <patternFill patternType="solid">
        <fgColor rgb="FF00B050"/>
      </patternFill>
    </fill>
    <fill>
      <patternFill patternType="solid">
        <fgColor rgb="FFDAEEF3"/>
      </patternFill>
    </fill>
    <fill>
      <patternFill patternType="solid">
        <fgColor rgb="FFE5DFEC"/>
      </patternFill>
    </fill>
    <fill>
      <patternFill patternType="solid">
        <fgColor rgb="FFEAF1DD"/>
      </patternFill>
    </fill>
    <fill>
      <patternFill patternType="solid">
        <fgColor rgb="FFD6E3BC"/>
      </patternFill>
    </fill>
    <fill>
      <patternFill patternType="solid">
        <fgColor rgb="FFFBD4B4"/>
      </patternFill>
    </fill>
    <fill>
      <patternFill patternType="solid">
        <fgColor rgb="FFC4BD97"/>
      </patternFill>
    </fill>
    <fill>
      <patternFill patternType="solid">
        <fgColor rgb="FFBFBFBF"/>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theme="6" tint="0.79998168889431442"/>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E5E7"/>
        <bgColor rgb="FFFFFFFF"/>
      </patternFill>
    </fill>
    <fill>
      <patternFill patternType="solid">
        <fgColor rgb="FFFFE5E7"/>
        <bgColor rgb="FFFFE5E7"/>
      </patternFill>
    </fill>
  </fills>
  <borders count="105">
    <border>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right/>
      <top/>
      <bottom style="medium">
        <color indexed="64"/>
      </bottom>
      <diagonal/>
    </border>
    <border>
      <left style="thin">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style="medium">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diagonal/>
    </border>
    <border>
      <left/>
      <right style="medium">
        <color indexed="64"/>
      </right>
      <top style="medium">
        <color indexed="64"/>
      </top>
      <bottom style="thin">
        <color indexed="64"/>
      </bottom>
      <diagonal/>
    </border>
    <border>
      <left style="medium">
        <color indexed="64"/>
      </left>
      <right style="thin">
        <color theme="0"/>
      </right>
      <top style="thin">
        <color indexed="64"/>
      </top>
      <bottom style="thin">
        <color indexed="64"/>
      </bottom>
      <diagonal/>
    </border>
    <border>
      <left style="thin">
        <color theme="0"/>
      </left>
      <right style="thin">
        <color theme="0"/>
      </right>
      <top style="thin">
        <color indexed="64"/>
      </top>
      <bottom/>
      <diagonal/>
    </border>
    <border>
      <left style="thin">
        <color theme="0"/>
      </left>
      <right style="medium">
        <color indexed="64"/>
      </right>
      <top style="thin">
        <color indexed="64"/>
      </top>
      <bottom/>
      <diagonal/>
    </border>
    <border>
      <left style="medium">
        <color indexed="64"/>
      </left>
      <right style="thin">
        <color theme="0"/>
      </right>
      <top style="thin">
        <color indexed="64"/>
      </top>
      <bottom style="medium">
        <color indexed="64"/>
      </bottom>
      <diagonal/>
    </border>
    <border>
      <left style="thin">
        <color theme="0"/>
      </left>
      <right style="thin">
        <color theme="0"/>
      </right>
      <top/>
      <bottom style="medium">
        <color indexed="64"/>
      </bottom>
      <diagonal/>
    </border>
    <border>
      <left style="thin">
        <color theme="0"/>
      </left>
      <right style="medium">
        <color indexed="64"/>
      </right>
      <top/>
      <bottom style="medium">
        <color indexed="64"/>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medium">
        <color indexed="64"/>
      </bottom>
      <diagonal/>
    </border>
    <border>
      <left style="thin">
        <color rgb="FF000000"/>
      </left>
      <right/>
      <top style="medium">
        <color indexed="64"/>
      </top>
      <bottom style="thin">
        <color rgb="FF000000"/>
      </bottom>
      <diagonal/>
    </border>
    <border>
      <left style="thin">
        <color rgb="FF000000"/>
      </left>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s>
  <cellStyleXfs count="5">
    <xf numFmtId="0" fontId="0" fillId="0" borderId="0"/>
    <xf numFmtId="0" fontId="21" fillId="0" borderId="0"/>
    <xf numFmtId="0" fontId="20" fillId="0" borderId="0"/>
    <xf numFmtId="9" fontId="21" fillId="0" borderId="0" applyFont="0" applyFill="0" applyBorder="0" applyAlignment="0" applyProtection="0"/>
    <xf numFmtId="0" fontId="37" fillId="0" borderId="0"/>
  </cellStyleXfs>
  <cellXfs count="650">
    <xf numFmtId="0" fontId="0" fillId="0" borderId="0" xfId="0"/>
    <xf numFmtId="0" fontId="0" fillId="2" borderId="0" xfId="0" applyFill="1"/>
    <xf numFmtId="0" fontId="2" fillId="0" borderId="11" xfId="0" applyFont="1" applyBorder="1" applyAlignment="1">
      <alignment horizontal="center" vertical="center" wrapText="1"/>
    </xf>
    <xf numFmtId="0" fontId="2" fillId="4" borderId="11" xfId="0" applyFont="1" applyFill="1" applyBorder="1" applyAlignment="1">
      <alignment horizontal="center" vertical="center" wrapText="1"/>
    </xf>
    <xf numFmtId="0" fontId="5" fillId="3" borderId="3" xfId="0" applyFont="1" applyFill="1" applyBorder="1" applyAlignment="1">
      <alignment horizontal="right" vertical="center" wrapText="1"/>
    </xf>
    <xf numFmtId="0" fontId="3" fillId="3" borderId="1" xfId="0" applyFont="1" applyFill="1" applyBorder="1" applyAlignment="1">
      <alignment horizontal="left" vertical="center" wrapText="1" indent="1"/>
    </xf>
    <xf numFmtId="0" fontId="0" fillId="2" borderId="8" xfId="0" applyFill="1" applyBorder="1" applyProtection="1">
      <protection locked="0"/>
    </xf>
    <xf numFmtId="0" fontId="2" fillId="4" borderId="13" xfId="0" applyFont="1" applyFill="1" applyBorder="1" applyAlignment="1">
      <alignment horizontal="center" vertical="center" wrapText="1"/>
    </xf>
    <xf numFmtId="0" fontId="5" fillId="0" borderId="20" xfId="0" applyFont="1" applyBorder="1" applyAlignment="1">
      <alignment horizontal="center" vertical="center" wrapText="1"/>
    </xf>
    <xf numFmtId="0" fontId="3" fillId="3" borderId="6" xfId="0" applyFont="1" applyFill="1" applyBorder="1"/>
    <xf numFmtId="0" fontId="3" fillId="3" borderId="9" xfId="0" applyFont="1" applyFill="1" applyBorder="1"/>
    <xf numFmtId="0" fontId="0" fillId="3" borderId="8" xfId="0" applyFill="1" applyBorder="1"/>
    <xf numFmtId="0" fontId="0" fillId="3" borderId="10" xfId="0" applyFill="1" applyBorder="1"/>
    <xf numFmtId="1" fontId="3" fillId="3" borderId="20" xfId="0" applyNumberFormat="1" applyFont="1" applyFill="1" applyBorder="1" applyAlignment="1">
      <alignment horizontal="center" vertical="center" wrapText="1"/>
    </xf>
    <xf numFmtId="0" fontId="10" fillId="2" borderId="0" xfId="0" applyFont="1" applyFill="1"/>
    <xf numFmtId="0" fontId="4" fillId="4" borderId="12" xfId="0" applyFont="1" applyFill="1" applyBorder="1" applyAlignment="1">
      <alignment horizontal="center" vertical="center" wrapText="1"/>
    </xf>
    <xf numFmtId="0" fontId="0" fillId="0" borderId="15" xfId="0" applyBorder="1" applyAlignment="1">
      <alignment horizontal="center" vertical="center" wrapText="1"/>
    </xf>
    <xf numFmtId="0" fontId="4" fillId="4" borderId="15"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6" fillId="4" borderId="13"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6" fillId="4" borderId="11" xfId="0" applyFont="1" applyFill="1" applyBorder="1" applyAlignment="1" applyProtection="1">
      <alignment horizontal="center" vertical="center" wrapText="1"/>
      <protection locked="0"/>
    </xf>
    <xf numFmtId="0" fontId="6" fillId="4" borderId="18" xfId="0" applyFont="1" applyFill="1" applyBorder="1" applyAlignment="1" applyProtection="1">
      <alignment horizontal="center" vertical="center" wrapText="1"/>
      <protection locked="0"/>
    </xf>
    <xf numFmtId="0" fontId="11" fillId="2" borderId="0" xfId="0" applyFont="1" applyFill="1" applyAlignment="1">
      <alignment horizontal="center"/>
    </xf>
    <xf numFmtId="0" fontId="0" fillId="2" borderId="0" xfId="0" applyFill="1" applyAlignment="1">
      <alignment horizontal="center"/>
    </xf>
    <xf numFmtId="0" fontId="11" fillId="0" borderId="0" xfId="0" applyFont="1" applyAlignment="1">
      <alignment horizontal="center"/>
    </xf>
    <xf numFmtId="0" fontId="12" fillId="4" borderId="14" xfId="0" applyFont="1" applyFill="1" applyBorder="1" applyAlignment="1" applyProtection="1">
      <alignment horizontal="left" vertical="top" wrapText="1"/>
      <protection locked="0"/>
    </xf>
    <xf numFmtId="0" fontId="13" fillId="2" borderId="0" xfId="0" applyFont="1" applyFill="1"/>
    <xf numFmtId="0" fontId="13" fillId="0" borderId="16" xfId="0" applyFont="1" applyBorder="1" applyAlignment="1" applyProtection="1">
      <alignment horizontal="left" vertical="top" wrapText="1"/>
      <protection locked="0"/>
    </xf>
    <xf numFmtId="0" fontId="12" fillId="4" borderId="16" xfId="0" applyFont="1" applyFill="1" applyBorder="1" applyAlignment="1" applyProtection="1">
      <alignment horizontal="left" vertical="top" wrapText="1"/>
      <protection locked="0"/>
    </xf>
    <xf numFmtId="0" fontId="12" fillId="4" borderId="19" xfId="0" applyFont="1" applyFill="1" applyBorder="1" applyAlignment="1" applyProtection="1">
      <alignment horizontal="left" vertical="top" wrapText="1"/>
      <protection locked="0"/>
    </xf>
    <xf numFmtId="0" fontId="13" fillId="0" borderId="19" xfId="0" applyFont="1" applyBorder="1" applyAlignment="1" applyProtection="1">
      <alignment horizontal="left" vertical="top" wrapText="1"/>
      <protection locked="0"/>
    </xf>
    <xf numFmtId="0" fontId="12" fillId="4" borderId="14" xfId="0" applyFont="1" applyFill="1" applyBorder="1" applyAlignment="1" applyProtection="1">
      <alignment horizontal="center" vertical="center" wrapText="1"/>
      <protection locked="0"/>
    </xf>
    <xf numFmtId="0" fontId="13" fillId="0" borderId="16" xfId="0" applyFont="1" applyBorder="1" applyAlignment="1" applyProtection="1">
      <alignment horizontal="center" vertical="center" wrapText="1"/>
      <protection locked="0"/>
    </xf>
    <xf numFmtId="0" fontId="12" fillId="4" borderId="16" xfId="0" applyFont="1" applyFill="1" applyBorder="1" applyAlignment="1" applyProtection="1">
      <alignment horizontal="center" vertical="center" wrapText="1"/>
      <protection locked="0"/>
    </xf>
    <xf numFmtId="0" fontId="12" fillId="4" borderId="14" xfId="0" applyFont="1" applyFill="1" applyBorder="1" applyAlignment="1" applyProtection="1">
      <alignment horizontal="left" wrapText="1"/>
      <protection locked="0"/>
    </xf>
    <xf numFmtId="0" fontId="12" fillId="4" borderId="19" xfId="0" applyFont="1" applyFill="1" applyBorder="1" applyAlignment="1" applyProtection="1">
      <alignment horizontal="left" wrapText="1"/>
      <protection locked="0"/>
    </xf>
    <xf numFmtId="0" fontId="5" fillId="5" borderId="31" xfId="0" applyFont="1" applyFill="1" applyBorder="1" applyAlignment="1">
      <alignment horizontal="center"/>
    </xf>
    <xf numFmtId="14" fontId="0" fillId="2" borderId="8" xfId="0" applyNumberFormat="1" applyFill="1" applyBorder="1" applyProtection="1">
      <protection locked="0"/>
    </xf>
    <xf numFmtId="165" fontId="0" fillId="2" borderId="10" xfId="0" applyNumberFormat="1" applyFill="1" applyBorder="1" applyProtection="1">
      <protection locked="0"/>
    </xf>
    <xf numFmtId="0" fontId="4" fillId="4" borderId="37" xfId="0" applyFont="1" applyFill="1" applyBorder="1" applyAlignment="1">
      <alignment horizontal="center" vertical="center" wrapText="1"/>
    </xf>
    <xf numFmtId="0" fontId="0" fillId="4" borderId="15" xfId="0" applyFill="1" applyBorder="1" applyAlignment="1">
      <alignment horizontal="center" vertical="center" wrapText="1"/>
    </xf>
    <xf numFmtId="0" fontId="13" fillId="4" borderId="16" xfId="0" applyFont="1" applyFill="1" applyBorder="1" applyAlignment="1" applyProtection="1">
      <alignment horizontal="left" vertical="top" wrapText="1"/>
      <protection locked="0"/>
    </xf>
    <xf numFmtId="0" fontId="13" fillId="4" borderId="16" xfId="0" applyFont="1" applyFill="1" applyBorder="1" applyAlignment="1" applyProtection="1">
      <alignment horizontal="left" wrapText="1"/>
      <protection locked="0"/>
    </xf>
    <xf numFmtId="0" fontId="0" fillId="4" borderId="17" xfId="0" applyFill="1" applyBorder="1" applyAlignment="1">
      <alignment horizontal="center" vertical="center" wrapText="1"/>
    </xf>
    <xf numFmtId="0" fontId="13" fillId="4" borderId="19" xfId="0" applyFont="1" applyFill="1" applyBorder="1" applyAlignment="1" applyProtection="1">
      <alignment horizontal="left" vertical="top" wrapText="1"/>
      <protection locked="0"/>
    </xf>
    <xf numFmtId="0" fontId="4" fillId="0" borderId="15" xfId="0" applyFont="1" applyBorder="1" applyAlignment="1">
      <alignment horizontal="center" vertical="center" wrapText="1"/>
    </xf>
    <xf numFmtId="0" fontId="12" fillId="0" borderId="16" xfId="0" applyFont="1" applyBorder="1" applyAlignment="1" applyProtection="1">
      <alignment horizontal="left" vertical="top" wrapText="1"/>
      <protection locked="0"/>
    </xf>
    <xf numFmtId="0" fontId="4" fillId="0" borderId="35" xfId="0" applyFont="1" applyBorder="1" applyAlignment="1">
      <alignment horizontal="center" vertical="center" wrapText="1"/>
    </xf>
    <xf numFmtId="0" fontId="12" fillId="0" borderId="16" xfId="0" applyFont="1" applyBorder="1" applyAlignment="1" applyProtection="1">
      <alignment horizontal="left" wrapText="1"/>
      <protection locked="0"/>
    </xf>
    <xf numFmtId="0" fontId="4" fillId="0" borderId="37" xfId="0" applyFont="1" applyBorder="1" applyAlignment="1">
      <alignment horizontal="center" vertical="center" wrapText="1"/>
    </xf>
    <xf numFmtId="0" fontId="2" fillId="2" borderId="11" xfId="0" applyFont="1" applyFill="1" applyBorder="1" applyAlignment="1">
      <alignment horizontal="center" vertical="center" wrapText="1"/>
    </xf>
    <xf numFmtId="0" fontId="0" fillId="2" borderId="2" xfId="0" applyFill="1" applyBorder="1"/>
    <xf numFmtId="0" fontId="4" fillId="2" borderId="15" xfId="0" applyFont="1" applyFill="1" applyBorder="1" applyAlignment="1">
      <alignment horizontal="center" vertical="center" wrapText="1"/>
    </xf>
    <xf numFmtId="0" fontId="12" fillId="2" borderId="16" xfId="0" applyFont="1" applyFill="1" applyBorder="1" applyAlignment="1" applyProtection="1">
      <alignment horizontal="left" vertical="top" wrapText="1"/>
      <protection locked="0"/>
    </xf>
    <xf numFmtId="0" fontId="13" fillId="2" borderId="2" xfId="0" applyFont="1" applyFill="1" applyBorder="1"/>
    <xf numFmtId="0" fontId="0" fillId="4" borderId="35" xfId="0" applyFill="1" applyBorder="1" applyAlignment="1">
      <alignment horizontal="center" vertical="center" wrapText="1"/>
    </xf>
    <xf numFmtId="0" fontId="0" fillId="2" borderId="40" xfId="0" applyFill="1" applyBorder="1"/>
    <xf numFmtId="0" fontId="4" fillId="2" borderId="17" xfId="0" applyFont="1" applyFill="1" applyBorder="1" applyAlignment="1">
      <alignment horizontal="center" vertical="center" wrapText="1"/>
    </xf>
    <xf numFmtId="0" fontId="0" fillId="7" borderId="15" xfId="0" applyFill="1" applyBorder="1" applyAlignment="1">
      <alignment horizontal="center" vertical="center" wrapText="1"/>
    </xf>
    <xf numFmtId="0" fontId="2" fillId="7" borderId="11" xfId="0" applyFont="1" applyFill="1" applyBorder="1" applyAlignment="1">
      <alignment horizontal="center" vertical="center" wrapText="1"/>
    </xf>
    <xf numFmtId="0" fontId="13" fillId="7" borderId="16" xfId="0" applyFont="1" applyFill="1" applyBorder="1" applyAlignment="1" applyProtection="1">
      <alignment horizontal="left" vertical="top" wrapText="1"/>
      <protection locked="0"/>
    </xf>
    <xf numFmtId="0" fontId="4" fillId="4" borderId="29" xfId="0" applyFont="1" applyFill="1" applyBorder="1" applyAlignment="1">
      <alignment horizontal="center" vertical="center" wrapText="1"/>
    </xf>
    <xf numFmtId="0" fontId="0" fillId="0" borderId="30" xfId="0" applyBorder="1" applyAlignment="1">
      <alignment horizontal="center" vertical="center" wrapText="1"/>
    </xf>
    <xf numFmtId="0" fontId="4" fillId="4" borderId="30" xfId="0" applyFont="1" applyFill="1" applyBorder="1" applyAlignment="1">
      <alignment horizontal="center" vertical="center" wrapText="1"/>
    </xf>
    <xf numFmtId="0" fontId="0" fillId="2" borderId="30" xfId="0" applyFill="1" applyBorder="1" applyAlignment="1">
      <alignment horizontal="center" vertical="center" wrapText="1"/>
    </xf>
    <xf numFmtId="0" fontId="13" fillId="2" borderId="16" xfId="0" applyFont="1" applyFill="1" applyBorder="1" applyAlignment="1" applyProtection="1">
      <alignment horizontal="center" vertical="center" wrapText="1"/>
      <protection locked="0"/>
    </xf>
    <xf numFmtId="0" fontId="6" fillId="2" borderId="11" xfId="0" applyFont="1" applyFill="1" applyBorder="1" applyAlignment="1" applyProtection="1">
      <alignment horizontal="center" vertical="center" wrapText="1"/>
      <protection locked="0"/>
    </xf>
    <xf numFmtId="0" fontId="12" fillId="0" borderId="19" xfId="0" applyFont="1" applyBorder="1" applyAlignment="1" applyProtection="1">
      <alignment horizontal="center" vertical="center" wrapText="1"/>
      <protection locked="0"/>
    </xf>
    <xf numFmtId="0" fontId="2" fillId="0" borderId="18" xfId="0" applyFont="1" applyBorder="1" applyAlignment="1">
      <alignment horizontal="center" vertical="center" wrapText="1"/>
    </xf>
    <xf numFmtId="0" fontId="6" fillId="2" borderId="18" xfId="0" applyFont="1" applyFill="1" applyBorder="1" applyAlignment="1" applyProtection="1">
      <alignment horizontal="center" vertical="center" wrapText="1"/>
      <protection locked="0"/>
    </xf>
    <xf numFmtId="0" fontId="2" fillId="4" borderId="18" xfId="0" applyFont="1" applyFill="1" applyBorder="1" applyAlignment="1">
      <alignment horizontal="center" vertical="center" wrapText="1"/>
    </xf>
    <xf numFmtId="0" fontId="13" fillId="4" borderId="14" xfId="0" applyFont="1" applyFill="1" applyBorder="1" applyAlignment="1" applyProtection="1">
      <alignment horizontal="left" vertical="top" wrapText="1"/>
      <protection locked="0"/>
    </xf>
    <xf numFmtId="0" fontId="12" fillId="4" borderId="16" xfId="0" applyFont="1" applyFill="1" applyBorder="1" applyAlignment="1" applyProtection="1">
      <alignment horizontal="left" wrapText="1"/>
      <protection locked="0"/>
    </xf>
    <xf numFmtId="0" fontId="0" fillId="4" borderId="12" xfId="0" applyFill="1" applyBorder="1" applyAlignment="1">
      <alignment horizontal="center" vertical="center" wrapText="1"/>
    </xf>
    <xf numFmtId="0" fontId="13" fillId="4" borderId="16" xfId="0" applyFont="1" applyFill="1" applyBorder="1" applyAlignment="1" applyProtection="1">
      <alignment horizontal="center" vertical="center" wrapText="1"/>
      <protection locked="0"/>
    </xf>
    <xf numFmtId="0" fontId="4" fillId="0" borderId="17" xfId="0" applyFont="1" applyBorder="1" applyAlignment="1">
      <alignment horizontal="center" vertical="center" wrapText="1"/>
    </xf>
    <xf numFmtId="0" fontId="6" fillId="7" borderId="11" xfId="0" applyFont="1" applyFill="1" applyBorder="1" applyAlignment="1" applyProtection="1">
      <alignment horizontal="center" vertical="center" wrapText="1"/>
      <protection locked="0"/>
    </xf>
    <xf numFmtId="0" fontId="2" fillId="2" borderId="18" xfId="0" applyFont="1" applyFill="1" applyBorder="1" applyAlignment="1">
      <alignment horizontal="center" vertical="center" wrapText="1"/>
    </xf>
    <xf numFmtId="0" fontId="6" fillId="4" borderId="38" xfId="0" applyFont="1" applyFill="1" applyBorder="1" applyAlignment="1" applyProtection="1">
      <alignment horizontal="center" vertical="center" wrapText="1"/>
      <protection locked="0"/>
    </xf>
    <xf numFmtId="0" fontId="2" fillId="4" borderId="38" xfId="0" applyFont="1" applyFill="1" applyBorder="1" applyAlignment="1">
      <alignment horizontal="center" vertical="center" wrapText="1"/>
    </xf>
    <xf numFmtId="0" fontId="12" fillId="0" borderId="42" xfId="0" applyFont="1" applyBorder="1" applyAlignment="1" applyProtection="1">
      <alignment horizontal="left" vertical="top" wrapText="1"/>
      <protection locked="0"/>
    </xf>
    <xf numFmtId="0" fontId="6" fillId="7" borderId="18" xfId="0" applyFont="1" applyFill="1" applyBorder="1" applyAlignment="1" applyProtection="1">
      <alignment horizontal="center" vertical="center" wrapText="1"/>
      <protection locked="0"/>
    </xf>
    <xf numFmtId="0" fontId="2" fillId="7" borderId="18" xfId="0" applyFont="1" applyFill="1" applyBorder="1" applyAlignment="1">
      <alignment horizontal="center" vertical="center" wrapText="1"/>
    </xf>
    <xf numFmtId="0" fontId="13" fillId="7" borderId="19" xfId="0" applyFont="1" applyFill="1" applyBorder="1" applyAlignment="1" applyProtection="1">
      <alignment horizontal="left" vertical="top" wrapText="1"/>
      <protection locked="0"/>
    </xf>
    <xf numFmtId="0" fontId="0" fillId="7" borderId="17" xfId="0" applyFill="1" applyBorder="1" applyAlignment="1">
      <alignment horizontal="center" vertical="center" wrapText="1"/>
    </xf>
    <xf numFmtId="0" fontId="6" fillId="2" borderId="38" xfId="0" applyFont="1" applyFill="1" applyBorder="1" applyAlignment="1" applyProtection="1">
      <alignment horizontal="center" vertical="center" wrapText="1"/>
      <protection locked="0"/>
    </xf>
    <xf numFmtId="0" fontId="2" fillId="0" borderId="38" xfId="0" applyFont="1" applyBorder="1" applyAlignment="1">
      <alignment horizontal="center" vertical="center" wrapText="1"/>
    </xf>
    <xf numFmtId="0" fontId="12" fillId="7" borderId="42" xfId="0" applyFont="1" applyFill="1" applyBorder="1" applyAlignment="1" applyProtection="1">
      <alignment horizontal="left" vertical="top" wrapText="1"/>
      <protection locked="0"/>
    </xf>
    <xf numFmtId="0" fontId="0" fillId="0" borderId="17" xfId="0" applyBorder="1" applyAlignment="1">
      <alignment horizontal="center" vertical="center" wrapText="1"/>
    </xf>
    <xf numFmtId="0" fontId="6" fillId="0" borderId="18" xfId="0" applyFont="1" applyBorder="1" applyAlignment="1" applyProtection="1">
      <alignment horizontal="center" vertical="center" wrapText="1"/>
      <protection locked="0"/>
    </xf>
    <xf numFmtId="0" fontId="12" fillId="0" borderId="42" xfId="0" applyFont="1" applyBorder="1" applyAlignment="1" applyProtection="1">
      <alignment horizontal="center" vertical="center" wrapText="1"/>
      <protection locked="0"/>
    </xf>
    <xf numFmtId="0" fontId="13" fillId="7" borderId="19" xfId="0" applyFont="1" applyFill="1" applyBorder="1" applyAlignment="1" applyProtection="1">
      <alignment horizontal="center" vertical="center" wrapText="1"/>
      <protection locked="0"/>
    </xf>
    <xf numFmtId="0" fontId="0" fillId="0" borderId="37" xfId="0" applyBorder="1" applyAlignment="1">
      <alignment horizontal="center" vertical="center" wrapText="1"/>
    </xf>
    <xf numFmtId="0" fontId="0" fillId="4" borderId="37" xfId="0" applyFill="1" applyBorder="1" applyAlignment="1">
      <alignment horizontal="center" vertical="center" wrapText="1"/>
    </xf>
    <xf numFmtId="1" fontId="3" fillId="3" borderId="1" xfId="0" applyNumberFormat="1" applyFont="1" applyFill="1" applyBorder="1" applyAlignment="1">
      <alignment horizontal="left" vertical="center" wrapText="1" indent="1"/>
    </xf>
    <xf numFmtId="0" fontId="15" fillId="0" borderId="11" xfId="0" applyFont="1" applyBorder="1" applyAlignment="1">
      <alignment horizontal="center" vertical="center" wrapText="1"/>
    </xf>
    <xf numFmtId="0" fontId="14" fillId="4" borderId="11" xfId="0" applyFont="1" applyFill="1" applyBorder="1" applyAlignment="1">
      <alignment horizontal="center" vertical="center" wrapText="1"/>
    </xf>
    <xf numFmtId="0" fontId="14" fillId="4" borderId="13" xfId="0" applyFont="1" applyFill="1" applyBorder="1" applyAlignment="1">
      <alignment horizontal="center" vertical="center" wrapText="1"/>
    </xf>
    <xf numFmtId="0" fontId="1" fillId="0" borderId="44" xfId="0" applyFont="1" applyBorder="1"/>
    <xf numFmtId="0" fontId="1" fillId="0" borderId="21" xfId="0" applyFont="1" applyBorder="1"/>
    <xf numFmtId="0" fontId="0" fillId="0" borderId="11" xfId="0" applyBorder="1"/>
    <xf numFmtId="0" fontId="0" fillId="0" borderId="36" xfId="0" applyBorder="1"/>
    <xf numFmtId="0" fontId="14" fillId="4" borderId="18" xfId="0" applyFont="1" applyFill="1" applyBorder="1" applyAlignment="1">
      <alignment horizontal="center" vertical="center" wrapText="1"/>
    </xf>
    <xf numFmtId="0" fontId="4" fillId="4" borderId="35" xfId="0" applyFont="1" applyFill="1" applyBorder="1" applyAlignment="1">
      <alignment horizontal="center" vertical="center" wrapText="1"/>
    </xf>
    <xf numFmtId="0" fontId="6" fillId="4" borderId="36" xfId="0" applyFont="1" applyFill="1" applyBorder="1" applyAlignment="1" applyProtection="1">
      <alignment horizontal="center" vertical="center" wrapText="1"/>
      <protection locked="0"/>
    </xf>
    <xf numFmtId="0" fontId="1" fillId="2" borderId="0" xfId="0" applyFont="1" applyFill="1"/>
    <xf numFmtId="0" fontId="16" fillId="2" borderId="0" xfId="0" applyFont="1" applyFill="1"/>
    <xf numFmtId="0" fontId="1" fillId="2" borderId="0" xfId="0" applyFont="1" applyFill="1" applyAlignment="1">
      <alignment horizontal="center"/>
    </xf>
    <xf numFmtId="0" fontId="17" fillId="2" borderId="0" xfId="0" applyFont="1" applyFill="1"/>
    <xf numFmtId="0" fontId="18" fillId="2" borderId="0" xfId="0" applyFont="1" applyFill="1"/>
    <xf numFmtId="0" fontId="18" fillId="2" borderId="19" xfId="0" applyFont="1" applyFill="1" applyBorder="1" applyAlignment="1" applyProtection="1">
      <alignment horizontal="left" vertical="top" wrapText="1"/>
      <protection locked="0"/>
    </xf>
    <xf numFmtId="0" fontId="18" fillId="4" borderId="14" xfId="0" applyFont="1" applyFill="1" applyBorder="1" applyAlignment="1" applyProtection="1">
      <alignment horizontal="left" vertical="top" wrapText="1"/>
      <protection locked="0"/>
    </xf>
    <xf numFmtId="0" fontId="18" fillId="4" borderId="14" xfId="0" applyFont="1" applyFill="1" applyBorder="1" applyAlignment="1" applyProtection="1">
      <alignment horizontal="center" vertical="center" wrapText="1"/>
      <protection locked="0"/>
    </xf>
    <xf numFmtId="0" fontId="18" fillId="4" borderId="16" xfId="0" applyFont="1" applyFill="1" applyBorder="1" applyAlignment="1" applyProtection="1">
      <alignment horizontal="left" vertical="top" wrapText="1"/>
      <protection locked="0"/>
    </xf>
    <xf numFmtId="0" fontId="12" fillId="4" borderId="42" xfId="0" applyFont="1" applyFill="1" applyBorder="1" applyAlignment="1" applyProtection="1">
      <alignment horizontal="center" vertical="center" wrapText="1"/>
      <protection locked="0"/>
    </xf>
    <xf numFmtId="0" fontId="2" fillId="4" borderId="36" xfId="0" applyFont="1" applyFill="1" applyBorder="1" applyAlignment="1">
      <alignment horizontal="center" vertical="center" wrapText="1"/>
    </xf>
    <xf numFmtId="0" fontId="18" fillId="4" borderId="50" xfId="0" applyFont="1" applyFill="1" applyBorder="1" applyAlignment="1" applyProtection="1">
      <alignment horizontal="left" vertical="top" wrapText="1"/>
      <protection locked="0"/>
    </xf>
    <xf numFmtId="0" fontId="4" fillId="2" borderId="35" xfId="0" applyFont="1" applyFill="1" applyBorder="1" applyAlignment="1">
      <alignment horizontal="center" vertical="center" wrapText="1"/>
    </xf>
    <xf numFmtId="0" fontId="6" fillId="2" borderId="36" xfId="0" applyFont="1" applyFill="1" applyBorder="1" applyAlignment="1" applyProtection="1">
      <alignment horizontal="center" vertical="center" wrapText="1"/>
      <protection locked="0"/>
    </xf>
    <xf numFmtId="0" fontId="2" fillId="2" borderId="36" xfId="0" applyFont="1" applyFill="1" applyBorder="1" applyAlignment="1">
      <alignment horizontal="center" vertical="center" wrapText="1"/>
    </xf>
    <xf numFmtId="0" fontId="18" fillId="2" borderId="50" xfId="0" applyFont="1" applyFill="1" applyBorder="1" applyAlignment="1" applyProtection="1">
      <alignment horizontal="left" vertical="top" wrapText="1"/>
      <protection locked="0"/>
    </xf>
    <xf numFmtId="0" fontId="24" fillId="0" borderId="0" xfId="1" applyFont="1" applyAlignment="1">
      <alignment horizontal="center" vertical="center" wrapText="1"/>
    </xf>
    <xf numFmtId="0" fontId="22" fillId="0" borderId="0" xfId="1" applyFont="1" applyAlignment="1">
      <alignment horizontal="center" vertical="center" wrapText="1"/>
    </xf>
    <xf numFmtId="0" fontId="22" fillId="0" borderId="0" xfId="1" applyFont="1" applyAlignment="1">
      <alignment vertical="top" wrapText="1"/>
    </xf>
    <xf numFmtId="0" fontId="22" fillId="0" borderId="0" xfId="1" applyFont="1" applyAlignment="1">
      <alignment horizontal="left" vertical="top" wrapText="1"/>
    </xf>
    <xf numFmtId="0" fontId="23" fillId="0" borderId="0" xfId="1" applyFont="1" applyAlignment="1">
      <alignment horizontal="center" vertical="top" wrapText="1"/>
    </xf>
    <xf numFmtId="0" fontId="22" fillId="0" borderId="11" xfId="1" applyFont="1" applyBorder="1" applyAlignment="1">
      <alignment horizontal="center" vertical="center" wrapText="1"/>
    </xf>
    <xf numFmtId="0" fontId="22" fillId="0" borderId="0" xfId="1" applyFont="1" applyAlignment="1">
      <alignment vertical="center" wrapText="1"/>
    </xf>
    <xf numFmtId="0" fontId="22" fillId="0" borderId="0" xfId="1" applyFont="1" applyAlignment="1">
      <alignment horizontal="left" vertical="center" wrapText="1" indent="1"/>
    </xf>
    <xf numFmtId="0" fontId="22" fillId="0" borderId="36" xfId="1" applyFont="1" applyBorder="1" applyAlignment="1">
      <alignment horizontal="center" vertical="center" wrapText="1"/>
    </xf>
    <xf numFmtId="0" fontId="22" fillId="0" borderId="38" xfId="1" applyFont="1" applyBorder="1" applyAlignment="1">
      <alignment horizontal="center" vertical="center" wrapText="1"/>
    </xf>
    <xf numFmtId="0" fontId="22" fillId="0" borderId="18" xfId="1" applyFont="1" applyBorder="1" applyAlignment="1">
      <alignment horizontal="center" vertical="center" wrapText="1"/>
    </xf>
    <xf numFmtId="0" fontId="22" fillId="0" borderId="0" xfId="1" applyFont="1" applyAlignment="1">
      <alignment horizontal="center" vertical="top" wrapText="1"/>
    </xf>
    <xf numFmtId="0" fontId="22" fillId="0" borderId="50" xfId="1" applyFont="1" applyBorder="1" applyAlignment="1">
      <alignment horizontal="center" vertical="center" wrapText="1"/>
    </xf>
    <xf numFmtId="0" fontId="22" fillId="0" borderId="16" xfId="1" applyFont="1" applyBorder="1" applyAlignment="1">
      <alignment horizontal="center" vertical="center" wrapText="1"/>
    </xf>
    <xf numFmtId="0" fontId="22" fillId="0" borderId="42" xfId="1" applyFont="1" applyBorder="1" applyAlignment="1">
      <alignment horizontal="center" vertical="center" wrapText="1"/>
    </xf>
    <xf numFmtId="0" fontId="22" fillId="0" borderId="19" xfId="1" applyFont="1" applyBorder="1" applyAlignment="1">
      <alignment horizontal="center" vertical="center" wrapText="1"/>
    </xf>
    <xf numFmtId="14" fontId="22" fillId="0" borderId="36" xfId="1" applyNumberFormat="1" applyFont="1" applyBorder="1" applyAlignment="1">
      <alignment horizontal="center" vertical="center" wrapText="1"/>
    </xf>
    <xf numFmtId="0" fontId="22" fillId="0" borderId="35" xfId="1" applyFont="1" applyBorder="1" applyAlignment="1">
      <alignment horizontal="center" vertical="center" wrapText="1"/>
    </xf>
    <xf numFmtId="0" fontId="22" fillId="0" borderId="15" xfId="1" applyFont="1" applyBorder="1" applyAlignment="1">
      <alignment horizontal="center" vertical="center" wrapText="1"/>
    </xf>
    <xf numFmtId="0" fontId="22" fillId="0" borderId="37" xfId="1" applyFont="1" applyBorder="1" applyAlignment="1">
      <alignment horizontal="center" vertical="center" wrapText="1"/>
    </xf>
    <xf numFmtId="0" fontId="22" fillId="0" borderId="17" xfId="1" applyFont="1" applyBorder="1" applyAlignment="1">
      <alignment horizontal="center" vertical="center" wrapText="1"/>
    </xf>
    <xf numFmtId="0" fontId="22" fillId="9" borderId="11" xfId="1" applyFont="1" applyFill="1" applyBorder="1" applyAlignment="1">
      <alignment horizontal="center" vertical="center" wrapText="1"/>
    </xf>
    <xf numFmtId="0" fontId="24" fillId="9" borderId="56" xfId="1" applyFont="1" applyFill="1" applyBorder="1" applyAlignment="1">
      <alignment horizontal="left" vertical="top" wrapText="1"/>
    </xf>
    <xf numFmtId="0" fontId="24" fillId="9" borderId="57" xfId="1" applyFont="1" applyFill="1" applyBorder="1" applyAlignment="1">
      <alignment horizontal="left" vertical="top" wrapText="1"/>
    </xf>
    <xf numFmtId="0" fontId="24" fillId="9" borderId="58" xfId="1" applyFont="1" applyFill="1" applyBorder="1" applyAlignment="1">
      <alignment horizontal="left" vertical="top" wrapText="1"/>
    </xf>
    <xf numFmtId="0" fontId="24" fillId="9" borderId="0" xfId="1" applyFont="1" applyFill="1" applyAlignment="1">
      <alignment horizontal="left" vertical="top" wrapText="1"/>
    </xf>
    <xf numFmtId="0" fontId="24" fillId="9" borderId="59" xfId="1" applyFont="1" applyFill="1" applyBorder="1" applyAlignment="1">
      <alignment horizontal="left" vertical="top" wrapText="1"/>
    </xf>
    <xf numFmtId="0" fontId="24" fillId="9" borderId="26" xfId="1" applyFont="1" applyFill="1" applyBorder="1" applyAlignment="1">
      <alignment horizontal="left" vertical="top" wrapText="1"/>
    </xf>
    <xf numFmtId="0" fontId="22" fillId="0" borderId="26" xfId="1" applyFont="1" applyBorder="1" applyAlignment="1">
      <alignment horizontal="center" vertical="center" wrapText="1"/>
    </xf>
    <xf numFmtId="0" fontId="22" fillId="9" borderId="38" xfId="1" applyFont="1" applyFill="1" applyBorder="1" applyAlignment="1">
      <alignment horizontal="center" vertical="center" wrapText="1"/>
    </xf>
    <xf numFmtId="0" fontId="24" fillId="0" borderId="56" xfId="1" applyFont="1" applyBorder="1" applyAlignment="1">
      <alignment horizontal="left" vertical="top" wrapText="1"/>
    </xf>
    <xf numFmtId="0" fontId="24" fillId="0" borderId="57" xfId="1" applyFont="1" applyBorder="1" applyAlignment="1">
      <alignment horizontal="left" vertical="top" wrapText="1"/>
    </xf>
    <xf numFmtId="0" fontId="24" fillId="0" borderId="58" xfId="1" applyFont="1" applyBorder="1" applyAlignment="1">
      <alignment horizontal="left" vertical="top" wrapText="1"/>
    </xf>
    <xf numFmtId="0" fontId="24" fillId="9" borderId="9" xfId="1" applyFont="1" applyFill="1" applyBorder="1" applyAlignment="1">
      <alignment horizontal="left" vertical="top" wrapText="1"/>
    </xf>
    <xf numFmtId="0" fontId="24" fillId="9" borderId="46" xfId="1" applyFont="1" applyFill="1" applyBorder="1" applyAlignment="1">
      <alignment horizontal="left" vertical="top" wrapText="1"/>
    </xf>
    <xf numFmtId="0" fontId="24" fillId="9" borderId="10" xfId="1" applyFont="1" applyFill="1" applyBorder="1" applyAlignment="1">
      <alignment horizontal="left" vertical="top" wrapText="1"/>
    </xf>
    <xf numFmtId="0" fontId="22" fillId="9" borderId="18" xfId="1" applyFont="1" applyFill="1" applyBorder="1" applyAlignment="1">
      <alignment horizontal="center" vertical="center" wrapText="1"/>
    </xf>
    <xf numFmtId="9" fontId="22" fillId="0" borderId="0" xfId="1" applyNumberFormat="1" applyFont="1" applyAlignment="1">
      <alignment vertical="top" wrapText="1"/>
    </xf>
    <xf numFmtId="0" fontId="24" fillId="0" borderId="51" xfId="1" applyFont="1" applyBorder="1" applyAlignment="1">
      <alignment horizontal="center" vertical="center" wrapText="1"/>
    </xf>
    <xf numFmtId="0" fontId="24" fillId="0" borderId="26" xfId="1" applyFont="1" applyBorder="1" applyAlignment="1">
      <alignment horizontal="center" vertical="center" wrapText="1"/>
    </xf>
    <xf numFmtId="0" fontId="22" fillId="0" borderId="2" xfId="1" applyFont="1" applyBorder="1" applyAlignment="1">
      <alignment horizontal="left" vertical="center" wrapText="1"/>
    </xf>
    <xf numFmtId="0" fontId="24" fillId="0" borderId="2" xfId="1" applyFont="1" applyBorder="1" applyAlignment="1">
      <alignment horizontal="center" vertical="center" wrapText="1"/>
    </xf>
    <xf numFmtId="0" fontId="24" fillId="0" borderId="0" xfId="1" applyFont="1" applyAlignment="1">
      <alignment vertical="center" wrapText="1"/>
    </xf>
    <xf numFmtId="0" fontId="22" fillId="0" borderId="26" xfId="1" applyFont="1" applyBorder="1" applyAlignment="1">
      <alignment horizontal="left" vertical="center" wrapText="1"/>
    </xf>
    <xf numFmtId="0" fontId="22" fillId="0" borderId="0" xfId="1" applyFont="1" applyAlignment="1">
      <alignment horizontal="left" vertical="center" wrapText="1"/>
    </xf>
    <xf numFmtId="9" fontId="24" fillId="0" borderId="51" xfId="3" applyFont="1" applyBorder="1" applyAlignment="1">
      <alignment horizontal="center" vertical="center" wrapText="1"/>
    </xf>
    <xf numFmtId="0" fontId="29" fillId="9" borderId="51" xfId="1" applyFont="1" applyFill="1" applyBorder="1" applyAlignment="1">
      <alignment horizontal="center" vertical="center" wrapText="1"/>
    </xf>
    <xf numFmtId="0" fontId="24" fillId="9" borderId="51" xfId="1" applyFont="1" applyFill="1" applyBorder="1" applyAlignment="1">
      <alignment horizontal="center" vertical="center" wrapText="1"/>
    </xf>
    <xf numFmtId="9" fontId="24" fillId="9" borderId="51" xfId="3" applyFont="1" applyFill="1" applyBorder="1" applyAlignment="1">
      <alignment horizontal="center" vertical="center" wrapText="1"/>
    </xf>
    <xf numFmtId="9" fontId="24" fillId="0" borderId="51" xfId="3" applyFont="1" applyFill="1" applyBorder="1" applyAlignment="1">
      <alignment horizontal="center" vertical="center" wrapText="1"/>
    </xf>
    <xf numFmtId="0" fontId="24" fillId="0" borderId="0" xfId="1" applyFont="1" applyAlignment="1">
      <alignment vertical="top" wrapText="1"/>
    </xf>
    <xf numFmtId="0" fontId="24" fillId="0" borderId="59" xfId="1" applyFont="1" applyBorder="1" applyAlignment="1">
      <alignment vertical="top" wrapText="1"/>
    </xf>
    <xf numFmtId="0" fontId="22" fillId="9" borderId="36" xfId="1" applyFont="1" applyFill="1" applyBorder="1" applyAlignment="1">
      <alignment horizontal="center" vertical="center" wrapText="1"/>
    </xf>
    <xf numFmtId="0" fontId="22" fillId="9" borderId="12" xfId="1" applyFont="1" applyFill="1" applyBorder="1" applyAlignment="1">
      <alignment horizontal="center" vertical="center" wrapText="1"/>
    </xf>
    <xf numFmtId="0" fontId="22" fillId="9" borderId="14" xfId="1" applyFont="1" applyFill="1" applyBorder="1" applyAlignment="1">
      <alignment horizontal="center" vertical="center" wrapText="1"/>
    </xf>
    <xf numFmtId="0" fontId="22" fillId="9" borderId="15" xfId="1" applyFont="1" applyFill="1" applyBorder="1" applyAlignment="1">
      <alignment horizontal="center" vertical="center" wrapText="1"/>
    </xf>
    <xf numFmtId="0" fontId="22" fillId="9" borderId="16" xfId="1" applyFont="1" applyFill="1" applyBorder="1" applyAlignment="1">
      <alignment horizontal="center" vertical="center" wrapText="1"/>
    </xf>
    <xf numFmtId="0" fontId="22" fillId="9" borderId="17" xfId="1" applyFont="1" applyFill="1" applyBorder="1" applyAlignment="1">
      <alignment horizontal="center" vertical="center" wrapText="1"/>
    </xf>
    <xf numFmtId="0" fontId="22" fillId="9" borderId="19" xfId="1" applyFont="1" applyFill="1" applyBorder="1" applyAlignment="1">
      <alignment horizontal="center" vertical="center" wrapText="1"/>
    </xf>
    <xf numFmtId="0" fontId="22" fillId="0" borderId="12" xfId="1" applyFont="1" applyBorder="1" applyAlignment="1">
      <alignment horizontal="center" vertical="center" wrapText="1"/>
    </xf>
    <xf numFmtId="0" fontId="22" fillId="0" borderId="14" xfId="1" applyFont="1" applyBorder="1" applyAlignment="1">
      <alignment horizontal="center" vertical="center" wrapText="1"/>
    </xf>
    <xf numFmtId="0" fontId="24" fillId="11" borderId="15" xfId="1" applyFont="1" applyFill="1" applyBorder="1" applyAlignment="1">
      <alignment horizontal="center" vertical="center" wrapText="1"/>
    </xf>
    <xf numFmtId="0" fontId="24" fillId="10" borderId="17" xfId="1" applyFont="1" applyFill="1" applyBorder="1" applyAlignment="1">
      <alignment horizontal="center" vertical="center" wrapText="1"/>
    </xf>
    <xf numFmtId="0" fontId="23" fillId="12" borderId="44" xfId="1" applyFont="1" applyFill="1" applyBorder="1" applyAlignment="1">
      <alignment horizontal="center" vertical="center" wrapText="1"/>
    </xf>
    <xf numFmtId="0" fontId="28" fillId="12" borderId="3" xfId="1" applyFont="1" applyFill="1" applyBorder="1" applyAlignment="1">
      <alignment horizontal="center" vertical="center" wrapText="1"/>
    </xf>
    <xf numFmtId="0" fontId="29" fillId="0" borderId="51" xfId="1" applyFont="1" applyBorder="1" applyAlignment="1">
      <alignment horizontal="center" vertical="center" wrapText="1"/>
    </xf>
    <xf numFmtId="0" fontId="23" fillId="12" borderId="1" xfId="1" applyFont="1" applyFill="1" applyBorder="1" applyAlignment="1">
      <alignment horizontal="center" vertical="center" wrapText="1"/>
    </xf>
    <xf numFmtId="0" fontId="22" fillId="9" borderId="37" xfId="1" applyFont="1" applyFill="1" applyBorder="1" applyAlignment="1">
      <alignment horizontal="center" vertical="center" wrapText="1"/>
    </xf>
    <xf numFmtId="0" fontId="22" fillId="9" borderId="42" xfId="1" applyFont="1" applyFill="1" applyBorder="1" applyAlignment="1">
      <alignment horizontal="center" vertical="center" wrapText="1"/>
    </xf>
    <xf numFmtId="0" fontId="26" fillId="9" borderId="68" xfId="0" applyFont="1" applyFill="1" applyBorder="1" applyAlignment="1">
      <alignment horizontal="left" vertical="center" wrapText="1"/>
    </xf>
    <xf numFmtId="0" fontId="26" fillId="0" borderId="67" xfId="0" applyFont="1" applyBorder="1" applyAlignment="1">
      <alignment horizontal="left" vertical="center" wrapText="1"/>
    </xf>
    <xf numFmtId="0" fontId="26" fillId="9" borderId="67" xfId="0" applyFont="1" applyFill="1" applyBorder="1" applyAlignment="1">
      <alignment horizontal="left" vertical="center" wrapText="1"/>
    </xf>
    <xf numFmtId="0" fontId="26" fillId="9" borderId="69" xfId="0" applyFont="1" applyFill="1" applyBorder="1" applyAlignment="1">
      <alignment horizontal="left" vertical="center" wrapText="1"/>
    </xf>
    <xf numFmtId="0" fontId="24" fillId="9" borderId="6" xfId="1" applyFont="1" applyFill="1" applyBorder="1" applyAlignment="1">
      <alignment horizontal="left" vertical="top" wrapText="1"/>
    </xf>
    <xf numFmtId="0" fontId="24" fillId="9" borderId="7" xfId="1" applyFont="1" applyFill="1" applyBorder="1" applyAlignment="1">
      <alignment horizontal="left" vertical="top" wrapText="1"/>
    </xf>
    <xf numFmtId="0" fontId="24" fillId="9" borderId="8" xfId="1" applyFont="1" applyFill="1" applyBorder="1" applyAlignment="1">
      <alignment horizontal="left" vertical="top" wrapText="1"/>
    </xf>
    <xf numFmtId="0" fontId="23" fillId="12" borderId="51" xfId="1" applyFont="1" applyFill="1" applyBorder="1" applyAlignment="1">
      <alignment horizontal="left" vertical="center" wrapText="1" indent="77"/>
    </xf>
    <xf numFmtId="0" fontId="23" fillId="12" borderId="51" xfId="1" applyFont="1" applyFill="1" applyBorder="1" applyAlignment="1">
      <alignment horizontal="center" vertical="center" wrapText="1"/>
    </xf>
    <xf numFmtId="164" fontId="23" fillId="12" borderId="51" xfId="3" applyNumberFormat="1" applyFont="1" applyFill="1" applyBorder="1" applyAlignment="1">
      <alignment horizontal="center" vertical="center" wrapText="1"/>
    </xf>
    <xf numFmtId="0" fontId="26" fillId="9" borderId="68" xfId="0" applyFont="1" applyFill="1" applyBorder="1" applyAlignment="1">
      <alignment vertical="center" wrapText="1"/>
    </xf>
    <xf numFmtId="0" fontId="26" fillId="0" borderId="67" xfId="0" applyFont="1" applyBorder="1" applyAlignment="1">
      <alignment vertical="center" wrapText="1"/>
    </xf>
    <xf numFmtId="0" fontId="26" fillId="9" borderId="67" xfId="0" applyFont="1" applyFill="1" applyBorder="1" applyAlignment="1">
      <alignment vertical="center" wrapText="1"/>
    </xf>
    <xf numFmtId="0" fontId="26" fillId="9" borderId="71" xfId="0" applyFont="1" applyFill="1" applyBorder="1" applyAlignment="1">
      <alignment vertical="center" wrapText="1"/>
    </xf>
    <xf numFmtId="0" fontId="26" fillId="0" borderId="69" xfId="0" applyFont="1" applyBorder="1" applyAlignment="1">
      <alignment horizontal="left" vertical="center" wrapText="1"/>
    </xf>
    <xf numFmtId="0" fontId="26" fillId="0" borderId="70" xfId="0" applyFont="1" applyBorder="1" applyAlignment="1">
      <alignment vertical="center" wrapText="1"/>
    </xf>
    <xf numFmtId="0" fontId="26" fillId="9" borderId="69" xfId="0" applyFont="1" applyFill="1" applyBorder="1" applyAlignment="1">
      <alignment vertical="center" wrapText="1"/>
    </xf>
    <xf numFmtId="0" fontId="26" fillId="0" borderId="68" xfId="0" applyFont="1" applyBorder="1" applyAlignment="1">
      <alignment vertical="center" wrapText="1"/>
    </xf>
    <xf numFmtId="0" fontId="26" fillId="0" borderId="69" xfId="0" applyFont="1" applyBorder="1" applyAlignment="1">
      <alignment vertical="center" wrapText="1"/>
    </xf>
    <xf numFmtId="0" fontId="23" fillId="12" borderId="12" xfId="1" applyFont="1" applyFill="1" applyBorder="1" applyAlignment="1">
      <alignment horizontal="center" vertical="center" wrapText="1"/>
    </xf>
    <xf numFmtId="0" fontId="23" fillId="12" borderId="17" xfId="1" applyFont="1" applyFill="1" applyBorder="1" applyAlignment="1">
      <alignment horizontal="center" vertical="center" wrapText="1"/>
    </xf>
    <xf numFmtId="0" fontId="32" fillId="9" borderId="67" xfId="0" applyFont="1" applyFill="1" applyBorder="1" applyAlignment="1">
      <alignment vertical="center" wrapText="1"/>
    </xf>
    <xf numFmtId="0" fontId="32" fillId="0" borderId="68" xfId="0" applyFont="1" applyBorder="1" applyAlignment="1">
      <alignment horizontal="left" vertical="center" wrapText="1"/>
    </xf>
    <xf numFmtId="0" fontId="32" fillId="0" borderId="11" xfId="1" applyFont="1" applyBorder="1" applyAlignment="1">
      <alignment horizontal="center" vertical="center" wrapText="1"/>
    </xf>
    <xf numFmtId="0" fontId="32" fillId="0" borderId="67" xfId="0" applyFont="1" applyBorder="1" applyAlignment="1">
      <alignment horizontal="left" vertical="center" wrapText="1"/>
    </xf>
    <xf numFmtId="0" fontId="32" fillId="9" borderId="11" xfId="1" applyFont="1" applyFill="1" applyBorder="1" applyAlignment="1">
      <alignment horizontal="center" vertical="center" wrapText="1"/>
    </xf>
    <xf numFmtId="0" fontId="32" fillId="9" borderId="67" xfId="0" applyFont="1" applyFill="1" applyBorder="1" applyAlignment="1">
      <alignment horizontal="left" vertical="center" wrapText="1"/>
    </xf>
    <xf numFmtId="0" fontId="32" fillId="0" borderId="69" xfId="0" applyFont="1" applyBorder="1" applyAlignment="1">
      <alignment vertical="center" wrapText="1"/>
    </xf>
    <xf numFmtId="0" fontId="24" fillId="13" borderId="15" xfId="1" applyFont="1" applyFill="1" applyBorder="1" applyAlignment="1">
      <alignment horizontal="center" vertical="center" wrapText="1"/>
    </xf>
    <xf numFmtId="0" fontId="23" fillId="0" borderId="0" xfId="1" applyFont="1" applyAlignment="1">
      <alignment horizontal="center" vertical="center" wrapText="1"/>
    </xf>
    <xf numFmtId="0" fontId="22" fillId="0" borderId="0" xfId="1" applyFont="1" applyAlignment="1">
      <alignment horizontal="right" vertical="center" wrapText="1"/>
    </xf>
    <xf numFmtId="0" fontId="24" fillId="0" borderId="0" xfId="1" applyFont="1" applyAlignment="1">
      <alignment horizontal="right" vertical="center" wrapText="1"/>
    </xf>
    <xf numFmtId="0" fontId="23" fillId="0" borderId="0" xfId="1" applyFont="1" applyAlignment="1">
      <alignment horizontal="right" vertical="center" wrapText="1"/>
    </xf>
    <xf numFmtId="0" fontId="22" fillId="0" borderId="0" xfId="1" applyFont="1" applyAlignment="1">
      <alignment horizontal="right" vertical="center"/>
    </xf>
    <xf numFmtId="0" fontId="22" fillId="0" borderId="0" xfId="1" applyFont="1" applyAlignment="1">
      <alignment horizontal="left" vertical="center"/>
    </xf>
    <xf numFmtId="0" fontId="32" fillId="0" borderId="18" xfId="1" applyFont="1" applyBorder="1" applyAlignment="1">
      <alignment horizontal="center" vertical="center" wrapText="1"/>
    </xf>
    <xf numFmtId="0" fontId="22" fillId="0" borderId="13" xfId="1" applyFont="1" applyBorder="1" applyAlignment="1">
      <alignment horizontal="center" vertical="center" wrapText="1"/>
    </xf>
    <xf numFmtId="0" fontId="23" fillId="12" borderId="3" xfId="1" applyFont="1" applyFill="1" applyBorder="1" applyAlignment="1">
      <alignment horizontal="center" vertical="center" wrapText="1"/>
    </xf>
    <xf numFmtId="0" fontId="23" fillId="12" borderId="20" xfId="1" applyFont="1" applyFill="1" applyBorder="1" applyAlignment="1">
      <alignment horizontal="center" vertical="center" wrapText="1"/>
    </xf>
    <xf numFmtId="0" fontId="23" fillId="12" borderId="21" xfId="1" applyFont="1" applyFill="1" applyBorder="1" applyAlignment="1">
      <alignment horizontal="center" vertical="center" wrapText="1"/>
    </xf>
    <xf numFmtId="0" fontId="24" fillId="0" borderId="57" xfId="1" applyFont="1" applyBorder="1" applyAlignment="1">
      <alignment horizontal="center" vertical="center" wrapText="1"/>
    </xf>
    <xf numFmtId="0" fontId="22" fillId="0" borderId="57" xfId="1" applyFont="1" applyBorder="1" applyAlignment="1">
      <alignment horizontal="left" vertical="center" wrapText="1" indent="1"/>
    </xf>
    <xf numFmtId="0" fontId="22" fillId="0" borderId="57" xfId="1" applyFont="1" applyBorder="1" applyAlignment="1">
      <alignment vertical="center" wrapText="1"/>
    </xf>
    <xf numFmtId="0" fontId="22" fillId="0" borderId="57" xfId="1" applyFont="1" applyBorder="1" applyAlignment="1">
      <alignment horizontal="center" vertical="center" wrapText="1"/>
    </xf>
    <xf numFmtId="0" fontId="22" fillId="0" borderId="57" xfId="1" applyFont="1" applyBorder="1" applyAlignment="1">
      <alignment vertical="top" wrapText="1"/>
    </xf>
    <xf numFmtId="0" fontId="23" fillId="14" borderId="51" xfId="1" applyFont="1" applyFill="1" applyBorder="1" applyAlignment="1">
      <alignment horizontal="center" vertical="center" wrapText="1"/>
    </xf>
    <xf numFmtId="0" fontId="22" fillId="2" borderId="0" xfId="1" applyFont="1" applyFill="1" applyAlignment="1">
      <alignment vertical="top" wrapText="1"/>
    </xf>
    <xf numFmtId="0" fontId="38" fillId="0" borderId="0" xfId="4" applyFont="1" applyProtection="1">
      <protection hidden="1"/>
    </xf>
    <xf numFmtId="0" fontId="38" fillId="0" borderId="0" xfId="4" applyFont="1" applyAlignment="1" applyProtection="1">
      <alignment horizontal="center"/>
      <protection hidden="1"/>
    </xf>
    <xf numFmtId="0" fontId="39" fillId="0" borderId="0" xfId="4" applyFont="1" applyProtection="1">
      <protection hidden="1"/>
    </xf>
    <xf numFmtId="164" fontId="38" fillId="0" borderId="0" xfId="4" applyNumberFormat="1" applyFont="1" applyProtection="1">
      <protection hidden="1"/>
    </xf>
    <xf numFmtId="0" fontId="48" fillId="26" borderId="85" xfId="4" applyFont="1" applyFill="1" applyBorder="1" applyAlignment="1" applyProtection="1">
      <alignment horizontal="center" vertical="center" wrapText="1"/>
      <protection hidden="1"/>
    </xf>
    <xf numFmtId="0" fontId="48" fillId="26" borderId="86" xfId="4" applyFont="1" applyFill="1" applyBorder="1" applyAlignment="1" applyProtection="1">
      <alignment horizontal="center" vertical="center" wrapText="1"/>
      <protection hidden="1"/>
    </xf>
    <xf numFmtId="0" fontId="19" fillId="26" borderId="87" xfId="4" applyFont="1" applyFill="1" applyBorder="1" applyAlignment="1" applyProtection="1">
      <alignment horizontal="center" vertical="center" wrapText="1"/>
      <protection hidden="1"/>
    </xf>
    <xf numFmtId="0" fontId="19" fillId="27" borderId="87" xfId="4" applyFont="1" applyFill="1" applyBorder="1" applyAlignment="1" applyProtection="1">
      <alignment horizontal="center" vertical="center" wrapText="1"/>
      <protection hidden="1"/>
    </xf>
    <xf numFmtId="0" fontId="19" fillId="28" borderId="87" xfId="4" applyFont="1" applyFill="1" applyBorder="1" applyAlignment="1" applyProtection="1">
      <alignment horizontal="center" vertical="center" wrapText="1"/>
      <protection hidden="1"/>
    </xf>
    <xf numFmtId="0" fontId="19" fillId="29" borderId="87" xfId="4" applyFont="1" applyFill="1" applyBorder="1" applyAlignment="1" applyProtection="1">
      <alignment horizontal="center" vertical="center" wrapText="1"/>
      <protection hidden="1"/>
    </xf>
    <xf numFmtId="0" fontId="19" fillId="30" borderId="87" xfId="4" applyFont="1" applyFill="1" applyBorder="1" applyAlignment="1" applyProtection="1">
      <alignment horizontal="center" vertical="center" wrapText="1"/>
      <protection hidden="1"/>
    </xf>
    <xf numFmtId="0" fontId="19" fillId="31" borderId="87" xfId="4" applyFont="1" applyFill="1" applyBorder="1" applyAlignment="1" applyProtection="1">
      <alignment horizontal="center" vertical="center" wrapText="1"/>
      <protection hidden="1"/>
    </xf>
    <xf numFmtId="0" fontId="39" fillId="32" borderId="84" xfId="4" applyFont="1" applyFill="1" applyBorder="1" applyAlignment="1" applyProtection="1">
      <alignment horizontal="center" vertical="center" wrapText="1"/>
      <protection hidden="1"/>
    </xf>
    <xf numFmtId="14" fontId="49" fillId="0" borderId="88" xfId="4" applyNumberFormat="1" applyFont="1" applyBorder="1" applyAlignment="1" applyProtection="1">
      <alignment horizontal="center" vertical="center"/>
      <protection hidden="1"/>
    </xf>
    <xf numFmtId="0" fontId="50" fillId="0" borderId="88" xfId="4" applyFont="1" applyBorder="1" applyAlignment="1" applyProtection="1">
      <alignment vertical="center"/>
      <protection hidden="1"/>
    </xf>
    <xf numFmtId="0" fontId="51" fillId="19" borderId="83" xfId="4" applyFont="1" applyFill="1" applyBorder="1" applyAlignment="1" applyProtection="1">
      <alignment horizontal="center"/>
      <protection hidden="1"/>
    </xf>
    <xf numFmtId="0" fontId="38" fillId="26" borderId="89" xfId="4" applyFont="1" applyFill="1" applyBorder="1" applyAlignment="1" applyProtection="1">
      <alignment horizontal="center"/>
      <protection hidden="1"/>
    </xf>
    <xf numFmtId="1" fontId="38" fillId="26" borderId="89" xfId="4" applyNumberFormat="1" applyFont="1" applyFill="1" applyBorder="1" applyAlignment="1" applyProtection="1">
      <alignment horizontal="center"/>
      <protection hidden="1"/>
    </xf>
    <xf numFmtId="10" fontId="52" fillId="26" borderId="90" xfId="4" applyNumberFormat="1" applyFont="1" applyFill="1" applyBorder="1" applyProtection="1">
      <protection hidden="1"/>
    </xf>
    <xf numFmtId="0" fontId="38" fillId="33" borderId="89" xfId="4" applyFont="1" applyFill="1" applyBorder="1" applyAlignment="1" applyProtection="1">
      <alignment horizontal="center"/>
      <protection hidden="1"/>
    </xf>
    <xf numFmtId="10" fontId="52" fillId="27" borderId="90" xfId="4" applyNumberFormat="1" applyFont="1" applyFill="1" applyBorder="1" applyProtection="1">
      <protection hidden="1"/>
    </xf>
    <xf numFmtId="0" fontId="38" fillId="34" borderId="89" xfId="4" applyFont="1" applyFill="1" applyBorder="1" applyAlignment="1" applyProtection="1">
      <alignment horizontal="center"/>
      <protection hidden="1"/>
    </xf>
    <xf numFmtId="10" fontId="52" fillId="28" borderId="90" xfId="4" applyNumberFormat="1" applyFont="1" applyFill="1" applyBorder="1" applyProtection="1">
      <protection hidden="1"/>
    </xf>
    <xf numFmtId="0" fontId="38" fillId="35" borderId="89" xfId="4" applyFont="1" applyFill="1" applyBorder="1" applyAlignment="1" applyProtection="1">
      <alignment horizontal="center"/>
      <protection hidden="1"/>
    </xf>
    <xf numFmtId="10" fontId="52" fillId="29" borderId="90" xfId="4" applyNumberFormat="1" applyFont="1" applyFill="1" applyBorder="1" applyProtection="1">
      <protection hidden="1"/>
    </xf>
    <xf numFmtId="0" fontId="38" fillId="36" borderId="89" xfId="4" applyFont="1" applyFill="1" applyBorder="1" applyAlignment="1" applyProtection="1">
      <alignment horizontal="center"/>
      <protection hidden="1"/>
    </xf>
    <xf numFmtId="10" fontId="52" fillId="30" borderId="90" xfId="4" applyNumberFormat="1" applyFont="1" applyFill="1" applyBorder="1" applyProtection="1">
      <protection hidden="1"/>
    </xf>
    <xf numFmtId="0" fontId="38" fillId="31" borderId="91" xfId="4" applyFont="1" applyFill="1" applyBorder="1" applyAlignment="1" applyProtection="1">
      <alignment horizontal="center"/>
      <protection hidden="1"/>
    </xf>
    <xf numFmtId="10" fontId="52" fillId="31" borderId="90" xfId="4" applyNumberFormat="1" applyFont="1" applyFill="1" applyBorder="1" applyProtection="1">
      <protection hidden="1"/>
    </xf>
    <xf numFmtId="0" fontId="38" fillId="32" borderId="91" xfId="4" applyFont="1" applyFill="1" applyBorder="1" applyAlignment="1" applyProtection="1">
      <alignment horizontal="center"/>
      <protection hidden="1"/>
    </xf>
    <xf numFmtId="10" fontId="52" fillId="32" borderId="92" xfId="4" applyNumberFormat="1" applyFont="1" applyFill="1" applyBorder="1" applyAlignment="1" applyProtection="1">
      <alignment horizontal="center"/>
      <protection hidden="1"/>
    </xf>
    <xf numFmtId="10" fontId="38" fillId="0" borderId="0" xfId="4" applyNumberFormat="1" applyFont="1" applyProtection="1">
      <protection hidden="1"/>
    </xf>
    <xf numFmtId="0" fontId="48" fillId="37" borderId="85" xfId="4" applyFont="1" applyFill="1" applyBorder="1" applyAlignment="1" applyProtection="1">
      <alignment horizontal="center" vertical="center" wrapText="1"/>
      <protection hidden="1"/>
    </xf>
    <xf numFmtId="0" fontId="48" fillId="37" borderId="86" xfId="4" applyFont="1" applyFill="1" applyBorder="1" applyAlignment="1" applyProtection="1">
      <alignment horizontal="center" vertical="center" wrapText="1"/>
      <protection hidden="1"/>
    </xf>
    <xf numFmtId="0" fontId="48" fillId="38" borderId="85" xfId="4" applyFont="1" applyFill="1" applyBorder="1" applyAlignment="1" applyProtection="1">
      <alignment horizontal="center" vertical="center" wrapText="1"/>
      <protection hidden="1"/>
    </xf>
    <xf numFmtId="0" fontId="48" fillId="38" borderId="86" xfId="4" applyFont="1" applyFill="1" applyBorder="1" applyAlignment="1" applyProtection="1">
      <alignment horizontal="center" vertical="center" wrapText="1"/>
      <protection hidden="1"/>
    </xf>
    <xf numFmtId="0" fontId="48" fillId="36" borderId="85" xfId="4" applyFont="1" applyFill="1" applyBorder="1" applyAlignment="1" applyProtection="1">
      <alignment horizontal="center" vertical="center" wrapText="1"/>
      <protection hidden="1"/>
    </xf>
    <xf numFmtId="0" fontId="48" fillId="36" borderId="86" xfId="4" applyFont="1" applyFill="1" applyBorder="1" applyAlignment="1" applyProtection="1">
      <alignment horizontal="center" vertical="center" wrapText="1"/>
      <protection hidden="1"/>
    </xf>
    <xf numFmtId="0" fontId="48" fillId="35" borderId="85" xfId="4" applyFont="1" applyFill="1" applyBorder="1" applyAlignment="1" applyProtection="1">
      <alignment horizontal="center" vertical="center" wrapText="1"/>
      <protection hidden="1"/>
    </xf>
    <xf numFmtId="0" fontId="48" fillId="35" borderId="86" xfId="4" applyFont="1" applyFill="1" applyBorder="1" applyAlignment="1" applyProtection="1">
      <alignment horizontal="center" vertical="center" wrapText="1"/>
      <protection hidden="1"/>
    </xf>
    <xf numFmtId="0" fontId="48" fillId="39" borderId="85" xfId="4" applyFont="1" applyFill="1" applyBorder="1" applyAlignment="1" applyProtection="1">
      <alignment horizontal="center" vertical="center" wrapText="1"/>
      <protection hidden="1"/>
    </xf>
    <xf numFmtId="0" fontId="48" fillId="39" borderId="86" xfId="4" applyFont="1" applyFill="1" applyBorder="1" applyAlignment="1" applyProtection="1">
      <alignment horizontal="center" vertical="center" wrapText="1"/>
      <protection hidden="1"/>
    </xf>
    <xf numFmtId="0" fontId="48" fillId="33" borderId="85" xfId="4" applyFont="1" applyFill="1" applyBorder="1" applyAlignment="1" applyProtection="1">
      <alignment horizontal="center" vertical="center" wrapText="1"/>
      <protection hidden="1"/>
    </xf>
    <xf numFmtId="0" fontId="48" fillId="33" borderId="86" xfId="4" applyFont="1" applyFill="1" applyBorder="1" applyAlignment="1" applyProtection="1">
      <alignment horizontal="center" vertical="center" wrapText="1"/>
      <protection hidden="1"/>
    </xf>
    <xf numFmtId="0" fontId="50" fillId="40" borderId="20" xfId="4" applyFont="1" applyFill="1" applyBorder="1" applyAlignment="1" applyProtection="1">
      <alignment horizontal="center"/>
      <protection hidden="1"/>
    </xf>
    <xf numFmtId="10" fontId="53" fillId="40" borderId="20" xfId="4" applyNumberFormat="1" applyFont="1" applyFill="1" applyBorder="1" applyProtection="1">
      <protection hidden="1"/>
    </xf>
    <xf numFmtId="14" fontId="22" fillId="0" borderId="11" xfId="1" applyNumberFormat="1" applyFont="1" applyBorder="1" applyAlignment="1">
      <alignment horizontal="center" vertical="center" wrapText="1"/>
    </xf>
    <xf numFmtId="1" fontId="38" fillId="26" borderId="93" xfId="4" applyNumberFormat="1" applyFont="1" applyFill="1" applyBorder="1" applyAlignment="1" applyProtection="1">
      <alignment horizontal="center"/>
      <protection hidden="1"/>
    </xf>
    <xf numFmtId="0" fontId="38" fillId="33" borderId="93" xfId="4" applyFont="1" applyFill="1" applyBorder="1" applyAlignment="1" applyProtection="1">
      <alignment horizontal="center"/>
      <protection hidden="1"/>
    </xf>
    <xf numFmtId="0" fontId="38" fillId="34" borderId="93" xfId="4" applyFont="1" applyFill="1" applyBorder="1" applyAlignment="1" applyProtection="1">
      <alignment horizontal="center"/>
      <protection hidden="1"/>
    </xf>
    <xf numFmtId="0" fontId="38" fillId="35" borderId="93" xfId="4" applyFont="1" applyFill="1" applyBorder="1" applyAlignment="1" applyProtection="1">
      <alignment horizontal="center"/>
      <protection hidden="1"/>
    </xf>
    <xf numFmtId="0" fontId="38" fillId="36" borderId="93" xfId="4" applyFont="1" applyFill="1" applyBorder="1" applyAlignment="1" applyProtection="1">
      <alignment horizontal="center"/>
      <protection hidden="1"/>
    </xf>
    <xf numFmtId="0" fontId="38" fillId="31" borderId="73" xfId="4" applyFont="1" applyFill="1" applyBorder="1" applyAlignment="1" applyProtection="1">
      <alignment horizontal="center"/>
      <protection hidden="1"/>
    </xf>
    <xf numFmtId="0" fontId="38" fillId="32" borderId="73" xfId="4" applyFont="1" applyFill="1" applyBorder="1" applyAlignment="1" applyProtection="1">
      <alignment horizontal="center"/>
      <protection hidden="1"/>
    </xf>
    <xf numFmtId="1" fontId="50" fillId="40" borderId="20" xfId="4" applyNumberFormat="1" applyFont="1" applyFill="1" applyBorder="1" applyAlignment="1" applyProtection="1">
      <alignment horizontal="center"/>
      <protection hidden="1"/>
    </xf>
    <xf numFmtId="0" fontId="22" fillId="0" borderId="37" xfId="1" applyFont="1" applyBorder="1" applyAlignment="1">
      <alignment horizontal="left" vertical="center" wrapText="1"/>
    </xf>
    <xf numFmtId="0" fontId="56" fillId="0" borderId="51" xfId="4" applyFont="1" applyBorder="1" applyAlignment="1" applyProtection="1">
      <alignment horizontal="center" vertical="center"/>
      <protection hidden="1"/>
    </xf>
    <xf numFmtId="0" fontId="24" fillId="0" borderId="15" xfId="1" applyFont="1" applyBorder="1" applyAlignment="1">
      <alignment horizontal="left" vertical="center" wrapText="1"/>
    </xf>
    <xf numFmtId="0" fontId="24" fillId="0" borderId="37" xfId="1" applyFont="1" applyBorder="1" applyAlignment="1">
      <alignment horizontal="center" vertical="center" wrapText="1"/>
    </xf>
    <xf numFmtId="0" fontId="24" fillId="0" borderId="37" xfId="1" applyFont="1" applyBorder="1" applyAlignment="1">
      <alignment horizontal="left" vertical="center" wrapText="1"/>
    </xf>
    <xf numFmtId="0" fontId="29" fillId="0" borderId="37" xfId="1" applyFont="1" applyBorder="1" applyAlignment="1">
      <alignment horizontal="left" vertical="center" wrapText="1"/>
    </xf>
    <xf numFmtId="0" fontId="24" fillId="0" borderId="35" xfId="1" applyFont="1" applyBorder="1" applyAlignment="1">
      <alignment horizontal="left" vertical="center" wrapText="1"/>
    </xf>
    <xf numFmtId="0" fontId="24" fillId="0" borderId="35" xfId="1" applyFont="1" applyBorder="1" applyAlignment="1">
      <alignment vertical="center" wrapText="1"/>
    </xf>
    <xf numFmtId="0" fontId="24" fillId="0" borderId="15" xfId="1" applyFont="1" applyBorder="1" applyAlignment="1">
      <alignment vertical="center" wrapText="1"/>
    </xf>
    <xf numFmtId="0" fontId="24" fillId="0" borderId="37" xfId="1" applyFont="1" applyBorder="1" applyAlignment="1">
      <alignment vertical="center" wrapText="1"/>
    </xf>
    <xf numFmtId="0" fontId="57" fillId="0" borderId="37" xfId="1" applyFont="1" applyBorder="1" applyAlignment="1">
      <alignment horizontal="center" vertical="center" wrapText="1"/>
    </xf>
    <xf numFmtId="0" fontId="29" fillId="0" borderId="37" xfId="1" applyFont="1" applyBorder="1" applyAlignment="1">
      <alignment vertical="center" wrapText="1"/>
    </xf>
    <xf numFmtId="0" fontId="29" fillId="0" borderId="35" xfId="1" applyFont="1" applyBorder="1" applyAlignment="1">
      <alignment vertical="center" wrapText="1"/>
    </xf>
    <xf numFmtId="0" fontId="29" fillId="0" borderId="15" xfId="1" applyFont="1" applyBorder="1" applyAlignment="1">
      <alignment vertical="center" wrapText="1"/>
    </xf>
    <xf numFmtId="16" fontId="22" fillId="0" borderId="38" xfId="1" applyNumberFormat="1" applyFont="1" applyBorder="1" applyAlignment="1">
      <alignment horizontal="center" vertical="center" wrapText="1"/>
    </xf>
    <xf numFmtId="0" fontId="24" fillId="0" borderId="15" xfId="1" applyFont="1" applyBorder="1" applyAlignment="1">
      <alignment horizontal="center" vertical="center" wrapText="1"/>
    </xf>
    <xf numFmtId="0" fontId="24" fillId="0" borderId="38" xfId="1" applyFont="1" applyBorder="1" applyAlignment="1">
      <alignment horizontal="center" vertical="center" wrapText="1"/>
    </xf>
    <xf numFmtId="14" fontId="22" fillId="0" borderId="38" xfId="1" applyNumberFormat="1" applyFont="1" applyBorder="1" applyAlignment="1">
      <alignment horizontal="center" vertical="center" wrapText="1"/>
    </xf>
    <xf numFmtId="14" fontId="24" fillId="0" borderId="37" xfId="1" applyNumberFormat="1" applyFont="1" applyBorder="1" applyAlignment="1">
      <alignment horizontal="left" vertical="center" wrapText="1"/>
    </xf>
    <xf numFmtId="0" fontId="60" fillId="0" borderId="83" xfId="0" applyFont="1" applyBorder="1" applyAlignment="1">
      <alignment horizontal="center" vertical="center" wrapText="1"/>
    </xf>
    <xf numFmtId="14" fontId="60" fillId="0" borderId="88" xfId="0" applyNumberFormat="1" applyFont="1" applyBorder="1" applyAlignment="1">
      <alignment horizontal="center" vertical="center" wrapText="1"/>
    </xf>
    <xf numFmtId="0" fontId="60" fillId="0" borderId="88" xfId="0" applyFont="1" applyBorder="1" applyAlignment="1">
      <alignment horizontal="center" vertical="center" wrapText="1"/>
    </xf>
    <xf numFmtId="0" fontId="60" fillId="0" borderId="78" xfId="0" applyFont="1" applyBorder="1" applyAlignment="1">
      <alignment horizontal="center" vertical="center" wrapText="1"/>
    </xf>
    <xf numFmtId="0" fontId="7" fillId="3" borderId="32" xfId="0" applyFont="1" applyFill="1" applyBorder="1" applyAlignment="1" applyProtection="1">
      <alignment horizontal="center" vertical="center" textRotation="90" wrapText="1"/>
      <protection locked="0"/>
    </xf>
    <xf numFmtId="0" fontId="7" fillId="3" borderId="33" xfId="0" applyFont="1" applyFill="1" applyBorder="1" applyAlignment="1" applyProtection="1">
      <alignment horizontal="center" vertical="center" textRotation="90" wrapText="1"/>
      <protection locked="0"/>
    </xf>
    <xf numFmtId="0" fontId="7" fillId="3" borderId="34" xfId="0" applyFont="1" applyFill="1" applyBorder="1" applyAlignment="1" applyProtection="1">
      <alignment horizontal="center" vertical="center" textRotation="90" wrapText="1"/>
      <protection locked="0"/>
    </xf>
    <xf numFmtId="0" fontId="2" fillId="0" borderId="11" xfId="0" applyFont="1" applyBorder="1" applyAlignment="1">
      <alignment vertical="center" wrapText="1"/>
    </xf>
    <xf numFmtId="0" fontId="2" fillId="6" borderId="38" xfId="0" applyFont="1" applyFill="1" applyBorder="1" applyAlignment="1">
      <alignment horizontal="center" vertical="center" wrapText="1"/>
    </xf>
    <xf numFmtId="0" fontId="2" fillId="6" borderId="39" xfId="0" applyFont="1" applyFill="1" applyBorder="1" applyAlignment="1">
      <alignment horizontal="center" vertical="center" wrapText="1"/>
    </xf>
    <xf numFmtId="0" fontId="2" fillId="6" borderId="36" xfId="0" applyFont="1" applyFill="1" applyBorder="1" applyAlignment="1">
      <alignment horizontal="center" vertical="center" wrapText="1"/>
    </xf>
    <xf numFmtId="0" fontId="6" fillId="4" borderId="23" xfId="0" applyFont="1" applyFill="1" applyBorder="1" applyAlignment="1">
      <alignment horizontal="left" vertical="center" wrapText="1"/>
    </xf>
    <xf numFmtId="0" fontId="6" fillId="4" borderId="7" xfId="0" applyFont="1" applyFill="1" applyBorder="1" applyAlignment="1">
      <alignment horizontal="left" vertical="center" wrapText="1"/>
    </xf>
    <xf numFmtId="0" fontId="6" fillId="4" borderId="30" xfId="0" applyFont="1" applyFill="1" applyBorder="1" applyAlignment="1">
      <alignment horizontal="left" vertical="center" wrapText="1"/>
    </xf>
    <xf numFmtId="0" fontId="6" fillId="0" borderId="23" xfId="0" applyFont="1" applyBorder="1" applyAlignment="1">
      <alignment horizontal="left" vertical="center" wrapText="1"/>
    </xf>
    <xf numFmtId="0" fontId="6" fillId="0" borderId="7" xfId="0" applyFont="1" applyBorder="1" applyAlignment="1">
      <alignment horizontal="left" vertical="center" wrapText="1"/>
    </xf>
    <xf numFmtId="0" fontId="6" fillId="0" borderId="30" xfId="0" applyFont="1" applyBorder="1" applyAlignment="1">
      <alignment horizontal="left" vertical="center" wrapText="1"/>
    </xf>
    <xf numFmtId="0" fontId="7" fillId="3" borderId="25" xfId="0" applyFont="1" applyFill="1" applyBorder="1" applyAlignment="1">
      <alignment horizontal="center" vertical="center" textRotation="90" wrapText="1"/>
    </xf>
    <xf numFmtId="0" fontId="7" fillId="3" borderId="26" xfId="0" applyFont="1" applyFill="1" applyBorder="1" applyAlignment="1">
      <alignment horizontal="center" vertical="center" textRotation="90" wrapText="1"/>
    </xf>
    <xf numFmtId="0" fontId="7" fillId="3" borderId="27" xfId="0" applyFont="1" applyFill="1" applyBorder="1" applyAlignment="1">
      <alignment horizontal="center" vertical="center" textRotation="90" wrapText="1"/>
    </xf>
    <xf numFmtId="0" fontId="6" fillId="4" borderId="13" xfId="0" applyFont="1" applyFill="1" applyBorder="1" applyAlignment="1">
      <alignment vertical="center" wrapText="1"/>
    </xf>
    <xf numFmtId="0" fontId="6" fillId="4" borderId="11" xfId="0" applyFont="1" applyFill="1" applyBorder="1" applyAlignment="1">
      <alignment vertical="center" wrapText="1"/>
    </xf>
    <xf numFmtId="0" fontId="5" fillId="3" borderId="32" xfId="0" applyFont="1" applyFill="1" applyBorder="1" applyAlignment="1">
      <alignment horizontal="center" vertical="center" textRotation="90" wrapText="1"/>
    </xf>
    <xf numFmtId="0" fontId="5" fillId="3" borderId="33" xfId="0" applyFont="1" applyFill="1" applyBorder="1" applyAlignment="1">
      <alignment horizontal="center" vertical="center" textRotation="90" wrapText="1"/>
    </xf>
    <xf numFmtId="0" fontId="5" fillId="3" borderId="34" xfId="0" applyFont="1" applyFill="1" applyBorder="1" applyAlignment="1">
      <alignment horizontal="center" vertical="center" textRotation="90" wrapText="1"/>
    </xf>
    <xf numFmtId="0" fontId="7" fillId="3" borderId="32" xfId="0" applyFont="1" applyFill="1" applyBorder="1" applyAlignment="1">
      <alignment horizontal="center" vertical="center" textRotation="90" wrapText="1"/>
    </xf>
    <xf numFmtId="0" fontId="7" fillId="3" borderId="33" xfId="0" applyFont="1" applyFill="1" applyBorder="1" applyAlignment="1">
      <alignment horizontal="center" vertical="center" textRotation="90" wrapText="1"/>
    </xf>
    <xf numFmtId="0" fontId="7" fillId="3" borderId="34" xfId="0" applyFont="1" applyFill="1" applyBorder="1" applyAlignment="1">
      <alignment horizontal="center" vertical="center" textRotation="90" wrapText="1"/>
    </xf>
    <xf numFmtId="0" fontId="2" fillId="4" borderId="13" xfId="0" applyFont="1" applyFill="1" applyBorder="1" applyAlignment="1">
      <alignment vertical="center" wrapText="1"/>
    </xf>
    <xf numFmtId="0" fontId="6" fillId="0" borderId="18" xfId="0" applyFont="1" applyBorder="1" applyAlignment="1">
      <alignment vertical="center" wrapText="1"/>
    </xf>
    <xf numFmtId="0" fontId="2" fillId="7" borderId="18" xfId="0" applyFont="1" applyFill="1" applyBorder="1" applyAlignment="1">
      <alignment vertical="center" wrapText="1"/>
    </xf>
    <xf numFmtId="0" fontId="2" fillId="7" borderId="11" xfId="0" applyFont="1" applyFill="1" applyBorder="1" applyAlignment="1">
      <alignment vertical="center" wrapText="1"/>
    </xf>
    <xf numFmtId="0" fontId="9" fillId="2" borderId="6" xfId="0" applyFont="1" applyFill="1" applyBorder="1" applyAlignment="1">
      <alignment vertical="center" wrapText="1"/>
    </xf>
    <xf numFmtId="0" fontId="9" fillId="2" borderId="7" xfId="0" applyFont="1" applyFill="1" applyBorder="1" applyAlignment="1">
      <alignment vertical="center" wrapText="1"/>
    </xf>
    <xf numFmtId="0" fontId="8" fillId="2" borderId="11" xfId="0" applyFont="1" applyFill="1" applyBorder="1" applyAlignment="1">
      <alignment horizontal="center" vertical="center" wrapText="1"/>
    </xf>
    <xf numFmtId="164" fontId="2" fillId="2" borderId="23"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8" fillId="4" borderId="23" xfId="0" applyFont="1" applyFill="1" applyBorder="1" applyAlignment="1">
      <alignment horizontal="center" vertical="center" wrapText="1"/>
    </xf>
    <xf numFmtId="0" fontId="8" fillId="4" borderId="30" xfId="0" applyFont="1" applyFill="1" applyBorder="1" applyAlignment="1">
      <alignment horizontal="center" vertical="center" wrapText="1"/>
    </xf>
    <xf numFmtId="164" fontId="2" fillId="4" borderId="23" xfId="0" applyNumberFormat="1" applyFont="1" applyFill="1" applyBorder="1" applyAlignment="1">
      <alignment horizontal="center" vertical="center" wrapText="1"/>
    </xf>
    <xf numFmtId="164" fontId="2" fillId="4" borderId="8" xfId="0" applyNumberFormat="1" applyFont="1" applyFill="1" applyBorder="1" applyAlignment="1">
      <alignment horizontal="center" vertical="center" wrapText="1"/>
    </xf>
    <xf numFmtId="0" fontId="1" fillId="2" borderId="6" xfId="0" applyFont="1" applyFill="1" applyBorder="1" applyAlignment="1">
      <alignment vertical="center" wrapText="1"/>
    </xf>
    <xf numFmtId="0" fontId="1" fillId="2" borderId="7" xfId="0" applyFont="1" applyFill="1" applyBorder="1" applyAlignment="1">
      <alignment vertical="center" wrapText="1"/>
    </xf>
    <xf numFmtId="164" fontId="3" fillId="3" borderId="2" xfId="0" applyNumberFormat="1" applyFont="1" applyFill="1" applyBorder="1" applyAlignment="1">
      <alignment horizontal="center" vertical="center" wrapText="1"/>
    </xf>
    <xf numFmtId="0" fontId="5" fillId="3" borderId="26" xfId="0" applyFont="1" applyFill="1" applyBorder="1" applyAlignment="1">
      <alignment horizontal="center" vertical="center" textRotation="90" wrapText="1"/>
    </xf>
    <xf numFmtId="0" fontId="5" fillId="3" borderId="27" xfId="0" applyFont="1" applyFill="1" applyBorder="1" applyAlignment="1">
      <alignment horizontal="center" vertical="center" textRotation="90" wrapText="1"/>
    </xf>
    <xf numFmtId="0" fontId="2" fillId="0" borderId="23" xfId="0" applyFont="1" applyBorder="1" applyAlignment="1">
      <alignment vertical="center" wrapText="1"/>
    </xf>
    <xf numFmtId="0" fontId="2" fillId="0" borderId="7" xfId="0" applyFont="1" applyBorder="1" applyAlignment="1">
      <alignment vertical="center" wrapText="1"/>
    </xf>
    <xf numFmtId="0" fontId="2" fillId="0" borderId="30" xfId="0" applyFont="1" applyBorder="1" applyAlignment="1">
      <alignment vertical="center" wrapText="1"/>
    </xf>
    <xf numFmtId="0" fontId="6" fillId="4" borderId="23" xfId="0" applyFont="1" applyFill="1" applyBorder="1" applyAlignment="1">
      <alignment vertical="center" wrapText="1"/>
    </xf>
    <xf numFmtId="0" fontId="6" fillId="4" borderId="7" xfId="0" applyFont="1" applyFill="1" applyBorder="1" applyAlignment="1">
      <alignment vertical="center" wrapText="1"/>
    </xf>
    <xf numFmtId="0" fontId="6" fillId="4" borderId="30" xfId="0" applyFont="1" applyFill="1" applyBorder="1" applyAlignment="1">
      <alignment vertical="center" wrapText="1"/>
    </xf>
    <xf numFmtId="0" fontId="6" fillId="4" borderId="24" xfId="0" applyFont="1" applyFill="1" applyBorder="1" applyAlignment="1">
      <alignment vertical="center" wrapText="1"/>
    </xf>
    <xf numFmtId="0" fontId="6" fillId="4" borderId="46" xfId="0" applyFont="1" applyFill="1" applyBorder="1" applyAlignment="1">
      <alignment vertical="center" wrapText="1"/>
    </xf>
    <xf numFmtId="0" fontId="6" fillId="4" borderId="47" xfId="0" applyFont="1" applyFill="1" applyBorder="1" applyAlignment="1">
      <alignment vertical="center" wrapText="1"/>
    </xf>
    <xf numFmtId="0" fontId="6" fillId="4" borderId="18" xfId="0" applyFont="1" applyFill="1" applyBorder="1" applyAlignment="1">
      <alignment vertical="center" wrapText="1"/>
    </xf>
    <xf numFmtId="0" fontId="6" fillId="4" borderId="28" xfId="0" applyFont="1" applyFill="1" applyBorder="1" applyAlignment="1">
      <alignment vertical="center" wrapText="1"/>
    </xf>
    <xf numFmtId="0" fontId="6" fillId="4" borderId="5" xfId="0" applyFont="1" applyFill="1" applyBorder="1" applyAlignment="1">
      <alignment vertical="center" wrapText="1"/>
    </xf>
    <xf numFmtId="0" fontId="6" fillId="4" borderId="29" xfId="0" applyFont="1" applyFill="1" applyBorder="1" applyAlignment="1">
      <alignment vertical="center" wrapText="1"/>
    </xf>
    <xf numFmtId="0" fontId="6" fillId="4" borderId="45" xfId="0" applyFont="1" applyFill="1" applyBorder="1" applyAlignment="1">
      <alignment vertical="center" wrapText="1"/>
    </xf>
    <xf numFmtId="0" fontId="6" fillId="4" borderId="48" xfId="0" applyFont="1" applyFill="1" applyBorder="1" applyAlignment="1">
      <alignment vertical="center" wrapText="1"/>
    </xf>
    <xf numFmtId="0" fontId="6" fillId="4" borderId="49" xfId="0" applyFont="1" applyFill="1" applyBorder="1" applyAlignment="1">
      <alignment vertical="center" wrapText="1"/>
    </xf>
    <xf numFmtId="0" fontId="5" fillId="3" borderId="25" xfId="0" applyFont="1" applyFill="1" applyBorder="1" applyAlignment="1">
      <alignment horizontal="center" vertical="center" textRotation="90" wrapText="1"/>
    </xf>
    <xf numFmtId="0" fontId="5" fillId="2" borderId="3" xfId="0" applyFont="1" applyFill="1" applyBorder="1" applyAlignment="1">
      <alignment horizontal="center" vertical="center" textRotation="90" wrapText="1"/>
    </xf>
    <xf numFmtId="0" fontId="5" fillId="2" borderId="2" xfId="0" applyFont="1" applyFill="1" applyBorder="1" applyAlignment="1">
      <alignment horizontal="center" vertical="center" textRotation="90" wrapText="1"/>
    </xf>
    <xf numFmtId="0" fontId="5" fillId="2" borderId="1" xfId="0" applyFont="1" applyFill="1" applyBorder="1" applyAlignment="1">
      <alignment horizontal="center" vertical="center" textRotation="90" wrapText="1"/>
    </xf>
    <xf numFmtId="0" fontId="9" fillId="0" borderId="6" xfId="0" applyFont="1" applyBorder="1" applyAlignment="1">
      <alignment vertical="center" wrapText="1"/>
    </xf>
    <xf numFmtId="0" fontId="9" fillId="0" borderId="30" xfId="0" applyFont="1" applyBorder="1" applyAlignment="1">
      <alignment vertical="center" wrapText="1"/>
    </xf>
    <xf numFmtId="0" fontId="8" fillId="2" borderId="23" xfId="0" applyFont="1" applyFill="1" applyBorder="1" applyAlignment="1">
      <alignment horizontal="center" vertical="center" wrapText="1"/>
    </xf>
    <xf numFmtId="0" fontId="8" fillId="2" borderId="30" xfId="0" applyFont="1" applyFill="1" applyBorder="1" applyAlignment="1">
      <alignment horizontal="center" vertical="center" wrapText="1"/>
    </xf>
    <xf numFmtId="0" fontId="8" fillId="4" borderId="11" xfId="0" applyFont="1" applyFill="1" applyBorder="1" applyAlignment="1">
      <alignment horizontal="center" vertical="center" wrapText="1"/>
    </xf>
    <xf numFmtId="164" fontId="2" fillId="4" borderId="24" xfId="0" applyNumberFormat="1" applyFont="1" applyFill="1" applyBorder="1" applyAlignment="1">
      <alignment horizontal="center" vertical="center" wrapText="1"/>
    </xf>
    <xf numFmtId="164" fontId="2" fillId="4" borderId="10" xfId="0" applyNumberFormat="1" applyFont="1" applyFill="1" applyBorder="1" applyAlignment="1">
      <alignment horizontal="center" vertical="center" wrapText="1"/>
    </xf>
    <xf numFmtId="0" fontId="6" fillId="2" borderId="18" xfId="0" applyFont="1" applyFill="1" applyBorder="1" applyAlignment="1">
      <alignment vertical="center" wrapText="1"/>
    </xf>
    <xf numFmtId="0" fontId="8" fillId="4" borderId="13" xfId="0" applyFont="1" applyFill="1" applyBorder="1" applyAlignment="1">
      <alignment horizontal="center" vertical="center" wrapText="1"/>
    </xf>
    <xf numFmtId="0" fontId="5" fillId="0" borderId="20" xfId="0" applyFont="1" applyBorder="1" applyAlignment="1">
      <alignment horizontal="center" vertical="center" wrapText="1"/>
    </xf>
    <xf numFmtId="164" fontId="3" fillId="3" borderId="22" xfId="0" applyNumberFormat="1"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0" fontId="6" fillId="0" borderId="11" xfId="0" applyFont="1" applyBorder="1" applyAlignment="1">
      <alignment vertical="center" wrapText="1"/>
    </xf>
    <xf numFmtId="0" fontId="2" fillId="4" borderId="18" xfId="0" applyFont="1" applyFill="1" applyBorder="1" applyAlignment="1">
      <alignment vertical="center" wrapText="1"/>
    </xf>
    <xf numFmtId="164" fontId="2" fillId="0" borderId="23" xfId="0" applyNumberFormat="1" applyFont="1" applyBorder="1" applyAlignment="1">
      <alignment horizontal="center" vertical="center" wrapText="1"/>
    </xf>
    <xf numFmtId="164" fontId="2" fillId="0" borderId="8" xfId="0" applyNumberFormat="1" applyFont="1" applyBorder="1" applyAlignment="1">
      <alignment horizontal="center" vertical="center" wrapText="1"/>
    </xf>
    <xf numFmtId="0" fontId="5" fillId="3" borderId="3" xfId="0" applyFont="1" applyFill="1" applyBorder="1" applyAlignment="1">
      <alignment vertical="center" wrapText="1"/>
    </xf>
    <xf numFmtId="0" fontId="5" fillId="3" borderId="43" xfId="0" applyFont="1" applyFill="1" applyBorder="1" applyAlignment="1">
      <alignment vertical="center" wrapText="1"/>
    </xf>
    <xf numFmtId="0" fontId="3" fillId="3" borderId="22" xfId="0" applyFont="1" applyFill="1" applyBorder="1" applyAlignment="1">
      <alignment horizontal="center" vertical="center" wrapText="1"/>
    </xf>
    <xf numFmtId="0" fontId="3" fillId="3" borderId="43" xfId="0" applyFont="1" applyFill="1" applyBorder="1" applyAlignment="1">
      <alignment horizontal="center" vertical="center" wrapText="1"/>
    </xf>
    <xf numFmtId="0" fontId="8" fillId="0" borderId="11" xfId="0" applyFont="1" applyBorder="1" applyAlignment="1">
      <alignment horizontal="center"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9" fillId="4" borderId="6" xfId="0" applyFont="1" applyFill="1" applyBorder="1" applyAlignment="1">
      <alignment vertical="center" wrapText="1"/>
    </xf>
    <xf numFmtId="0" fontId="9" fillId="4" borderId="7" xfId="0" applyFont="1" applyFill="1" applyBorder="1" applyAlignment="1">
      <alignment vertical="center" wrapText="1"/>
    </xf>
    <xf numFmtId="0" fontId="0" fillId="0" borderId="3" xfId="0" applyBorder="1"/>
    <xf numFmtId="0" fontId="0" fillId="0" borderId="2" xfId="0" applyBorder="1"/>
    <xf numFmtId="0" fontId="9" fillId="4" borderId="4" xfId="0" applyFont="1" applyFill="1" applyBorder="1" applyAlignment="1">
      <alignment vertical="center" wrapText="1"/>
    </xf>
    <xf numFmtId="0" fontId="9" fillId="4" borderId="5" xfId="0" applyFont="1" applyFill="1" applyBorder="1" applyAlignment="1">
      <alignment vertical="center" wrapText="1"/>
    </xf>
    <xf numFmtId="0" fontId="1" fillId="0" borderId="30" xfId="0" applyFont="1" applyBorder="1" applyAlignment="1">
      <alignment vertical="center" wrapText="1"/>
    </xf>
    <xf numFmtId="164" fontId="2" fillId="4" borderId="13" xfId="0" applyNumberFormat="1" applyFont="1" applyFill="1" applyBorder="1" applyAlignment="1">
      <alignment horizontal="center" vertical="center" wrapText="1"/>
    </xf>
    <xf numFmtId="164" fontId="2" fillId="4" borderId="14" xfId="0" applyNumberFormat="1" applyFont="1" applyFill="1" applyBorder="1" applyAlignment="1">
      <alignment horizontal="center" vertical="center" wrapText="1"/>
    </xf>
    <xf numFmtId="0" fontId="6" fillId="4" borderId="38" xfId="0" applyFont="1" applyFill="1" applyBorder="1" applyAlignment="1">
      <alignment vertical="center" wrapText="1"/>
    </xf>
    <xf numFmtId="0" fontId="5" fillId="3" borderId="2" xfId="0" applyFont="1" applyFill="1" applyBorder="1" applyAlignment="1">
      <alignment vertical="center" wrapText="1"/>
    </xf>
    <xf numFmtId="0" fontId="5" fillId="3" borderId="3" xfId="0" applyFont="1" applyFill="1" applyBorder="1" applyAlignment="1">
      <alignment horizontal="right" vertical="center" wrapText="1"/>
    </xf>
    <xf numFmtId="0" fontId="5" fillId="3" borderId="2" xfId="0" applyFont="1" applyFill="1" applyBorder="1" applyAlignment="1">
      <alignment horizontal="right" vertical="center" wrapText="1"/>
    </xf>
    <xf numFmtId="0" fontId="5" fillId="0" borderId="21" xfId="0" applyFont="1" applyBorder="1" applyAlignment="1">
      <alignment horizontal="center" vertical="center" wrapText="1"/>
    </xf>
    <xf numFmtId="0" fontId="2" fillId="0" borderId="18" xfId="0" applyFont="1" applyBorder="1" applyAlignment="1">
      <alignment vertical="center" wrapText="1"/>
    </xf>
    <xf numFmtId="0" fontId="2" fillId="0" borderId="23" xfId="0" applyFont="1" applyBorder="1" applyAlignment="1">
      <alignment vertical="top" wrapText="1"/>
    </xf>
    <xf numFmtId="0" fontId="2" fillId="0" borderId="7" xfId="0" applyFont="1" applyBorder="1" applyAlignment="1">
      <alignment vertical="top" wrapText="1"/>
    </xf>
    <xf numFmtId="0" fontId="2" fillId="0" borderId="30" xfId="0" applyFont="1" applyBorder="1" applyAlignment="1">
      <alignment vertical="top" wrapText="1"/>
    </xf>
    <xf numFmtId="0" fontId="2" fillId="7" borderId="23" xfId="0" applyFont="1" applyFill="1" applyBorder="1" applyAlignment="1">
      <alignment vertical="center" wrapText="1"/>
    </xf>
    <xf numFmtId="0" fontId="2" fillId="7" borderId="7" xfId="0" applyFont="1" applyFill="1" applyBorder="1" applyAlignment="1">
      <alignment vertical="center" wrapText="1"/>
    </xf>
    <xf numFmtId="0" fontId="2" fillId="7" borderId="30" xfId="0" applyFont="1" applyFill="1" applyBorder="1" applyAlignment="1">
      <alignment vertical="center" wrapText="1"/>
    </xf>
    <xf numFmtId="0" fontId="2" fillId="2" borderId="23" xfId="0" applyFont="1" applyFill="1" applyBorder="1" applyAlignment="1">
      <alignment vertical="center" wrapText="1"/>
    </xf>
    <xf numFmtId="0" fontId="2" fillId="2" borderId="7" xfId="0" applyFont="1" applyFill="1" applyBorder="1" applyAlignment="1">
      <alignment vertical="center" wrapText="1"/>
    </xf>
    <xf numFmtId="0" fontId="2" fillId="2" borderId="30" xfId="0" applyFont="1" applyFill="1" applyBorder="1" applyAlignment="1">
      <alignment vertical="center" wrapText="1"/>
    </xf>
    <xf numFmtId="0" fontId="3" fillId="3" borderId="20" xfId="0" applyFont="1" applyFill="1" applyBorder="1" applyAlignment="1">
      <alignment horizontal="center" vertical="center" wrapText="1"/>
    </xf>
    <xf numFmtId="0" fontId="6" fillId="2" borderId="11" xfId="0" applyFont="1" applyFill="1" applyBorder="1" applyAlignment="1">
      <alignment vertical="center" wrapText="1"/>
    </xf>
    <xf numFmtId="0" fontId="2" fillId="4" borderId="11" xfId="0" applyFont="1" applyFill="1" applyBorder="1" applyAlignment="1">
      <alignment vertical="center" wrapText="1"/>
    </xf>
    <xf numFmtId="0" fontId="2" fillId="2" borderId="23" xfId="0" applyFont="1" applyFill="1" applyBorder="1" applyAlignment="1">
      <alignment vertical="top" wrapText="1"/>
    </xf>
    <xf numFmtId="0" fontId="2" fillId="2" borderId="7" xfId="0" applyFont="1" applyFill="1" applyBorder="1" applyAlignment="1">
      <alignment vertical="top" wrapText="1"/>
    </xf>
    <xf numFmtId="0" fontId="2" fillId="2" borderId="30" xfId="0" applyFont="1" applyFill="1" applyBorder="1" applyAlignment="1">
      <alignment vertical="top" wrapText="1"/>
    </xf>
    <xf numFmtId="0" fontId="2" fillId="0" borderId="38" xfId="0" applyFont="1" applyBorder="1" applyAlignment="1">
      <alignment vertical="center" wrapText="1"/>
    </xf>
    <xf numFmtId="0" fontId="2" fillId="4" borderId="38" xfId="0" applyFont="1" applyFill="1" applyBorder="1" applyAlignment="1">
      <alignment vertical="center" wrapText="1"/>
    </xf>
    <xf numFmtId="0" fontId="24" fillId="0" borderId="6" xfId="1" applyFont="1" applyBorder="1" applyAlignment="1">
      <alignment horizontal="center" vertical="top" wrapText="1"/>
    </xf>
    <xf numFmtId="0" fontId="24" fillId="0" borderId="7" xfId="1" applyFont="1" applyBorder="1" applyAlignment="1">
      <alignment horizontal="center" vertical="top" wrapText="1"/>
    </xf>
    <xf numFmtId="0" fontId="24" fillId="0" borderId="8" xfId="1" applyFont="1" applyBorder="1" applyAlignment="1">
      <alignment horizontal="center" vertical="top" wrapText="1"/>
    </xf>
    <xf numFmtId="0" fontId="23" fillId="12" borderId="52" xfId="1" applyFont="1" applyFill="1" applyBorder="1" applyAlignment="1">
      <alignment horizontal="center" vertical="center" wrapText="1"/>
    </xf>
    <xf numFmtId="0" fontId="23" fillId="12" borderId="53" xfId="1" applyFont="1" applyFill="1" applyBorder="1" applyAlignment="1">
      <alignment horizontal="center" vertical="center" wrapText="1"/>
    </xf>
    <xf numFmtId="0" fontId="23" fillId="12" borderId="54" xfId="1" applyFont="1" applyFill="1" applyBorder="1" applyAlignment="1">
      <alignment horizontal="center" vertical="center" wrapText="1"/>
    </xf>
    <xf numFmtId="0" fontId="24" fillId="0" borderId="26" xfId="1" applyFont="1" applyBorder="1" applyAlignment="1">
      <alignment horizontal="left" vertical="top" wrapText="1"/>
    </xf>
    <xf numFmtId="0" fontId="24" fillId="0" borderId="0" xfId="1" applyFont="1" applyAlignment="1">
      <alignment horizontal="left" vertical="top" wrapText="1"/>
    </xf>
    <xf numFmtId="0" fontId="24" fillId="0" borderId="59" xfId="1" applyFont="1" applyBorder="1" applyAlignment="1">
      <alignment horizontal="left" vertical="top" wrapText="1"/>
    </xf>
    <xf numFmtId="0" fontId="24" fillId="9" borderId="56" xfId="1" applyFont="1" applyFill="1" applyBorder="1" applyAlignment="1">
      <alignment horizontal="left" vertical="top" wrapText="1"/>
    </xf>
    <xf numFmtId="0" fontId="24" fillId="9" borderId="57" xfId="1" applyFont="1" applyFill="1" applyBorder="1" applyAlignment="1">
      <alignment horizontal="left" vertical="top" wrapText="1"/>
    </xf>
    <xf numFmtId="0" fontId="24" fillId="9" borderId="58" xfId="1" applyFont="1" applyFill="1" applyBorder="1" applyAlignment="1">
      <alignment horizontal="left" vertical="top" wrapText="1"/>
    </xf>
    <xf numFmtId="0" fontId="24" fillId="0" borderId="9" xfId="1" applyFont="1" applyBorder="1" applyAlignment="1">
      <alignment horizontal="left" vertical="top" wrapText="1"/>
    </xf>
    <xf numFmtId="0" fontId="24" fillId="0" borderId="46" xfId="1" applyFont="1" applyBorder="1" applyAlignment="1">
      <alignment horizontal="left" vertical="top" wrapText="1"/>
    </xf>
    <xf numFmtId="0" fontId="24" fillId="0" borderId="10" xfId="1" applyFont="1" applyBorder="1" applyAlignment="1">
      <alignment horizontal="left" vertical="top" wrapText="1"/>
    </xf>
    <xf numFmtId="0" fontId="24" fillId="9" borderId="26" xfId="1" applyFont="1" applyFill="1" applyBorder="1" applyAlignment="1">
      <alignment horizontal="left" vertical="top" wrapText="1"/>
    </xf>
    <xf numFmtId="0" fontId="24" fillId="9" borderId="0" xfId="1" applyFont="1" applyFill="1" applyAlignment="1">
      <alignment horizontal="left" vertical="top" wrapText="1"/>
    </xf>
    <xf numFmtId="0" fontId="24" fillId="9" borderId="59" xfId="1" applyFont="1" applyFill="1" applyBorder="1" applyAlignment="1">
      <alignment horizontal="left" vertical="top" wrapText="1"/>
    </xf>
    <xf numFmtId="0" fontId="24" fillId="0" borderId="56" xfId="1" applyFont="1" applyBorder="1" applyAlignment="1">
      <alignment horizontal="left" vertical="top" wrapText="1"/>
    </xf>
    <xf numFmtId="0" fontId="24" fillId="0" borderId="57" xfId="1" applyFont="1" applyBorder="1" applyAlignment="1">
      <alignment horizontal="left" vertical="top" wrapText="1"/>
    </xf>
    <xf numFmtId="0" fontId="24" fillId="0" borderId="58" xfId="1" applyFont="1" applyBorder="1" applyAlignment="1">
      <alignment horizontal="left" vertical="top" wrapText="1"/>
    </xf>
    <xf numFmtId="0" fontId="24" fillId="0" borderId="25" xfId="1" applyFont="1" applyBorder="1" applyAlignment="1">
      <alignment horizontal="left" vertical="top" wrapText="1"/>
    </xf>
    <xf numFmtId="0" fontId="24" fillId="0" borderId="40" xfId="1" applyFont="1" applyBorder="1" applyAlignment="1">
      <alignment horizontal="left" vertical="top" wrapText="1"/>
    </xf>
    <xf numFmtId="0" fontId="24" fillId="0" borderId="55" xfId="1" applyFont="1" applyBorder="1" applyAlignment="1">
      <alignment horizontal="left" vertical="top" wrapText="1"/>
    </xf>
    <xf numFmtId="0" fontId="24" fillId="9" borderId="9" xfId="1" applyFont="1" applyFill="1" applyBorder="1" applyAlignment="1">
      <alignment horizontal="left" vertical="top" wrapText="1"/>
    </xf>
    <xf numFmtId="0" fontId="24" fillId="9" borderId="46" xfId="1" applyFont="1" applyFill="1" applyBorder="1" applyAlignment="1">
      <alignment horizontal="left" vertical="top" wrapText="1"/>
    </xf>
    <xf numFmtId="0" fontId="24" fillId="9" borderId="10" xfId="1" applyFont="1" applyFill="1" applyBorder="1" applyAlignment="1">
      <alignment horizontal="left" vertical="top" wrapText="1"/>
    </xf>
    <xf numFmtId="0" fontId="24" fillId="9" borderId="4" xfId="1" applyFont="1" applyFill="1" applyBorder="1" applyAlignment="1">
      <alignment horizontal="center" vertical="top" wrapText="1"/>
    </xf>
    <xf numFmtId="0" fontId="24" fillId="9" borderId="5" xfId="1" applyFont="1" applyFill="1" applyBorder="1" applyAlignment="1">
      <alignment horizontal="center" vertical="top" wrapText="1"/>
    </xf>
    <xf numFmtId="0" fontId="24" fillId="9" borderId="60" xfId="1" applyFont="1" applyFill="1" applyBorder="1" applyAlignment="1">
      <alignment horizontal="center" vertical="top" wrapText="1"/>
    </xf>
    <xf numFmtId="0" fontId="24" fillId="9" borderId="6" xfId="1" applyFont="1" applyFill="1" applyBorder="1" applyAlignment="1">
      <alignment horizontal="center" vertical="top" wrapText="1"/>
    </xf>
    <xf numFmtId="0" fontId="24" fillId="9" borderId="7" xfId="1" applyFont="1" applyFill="1" applyBorder="1" applyAlignment="1">
      <alignment horizontal="center" vertical="top" wrapText="1"/>
    </xf>
    <xf numFmtId="0" fontId="24" fillId="9" borderId="8" xfId="1" applyFont="1" applyFill="1" applyBorder="1" applyAlignment="1">
      <alignment horizontal="center" vertical="top" wrapText="1"/>
    </xf>
    <xf numFmtId="0" fontId="24" fillId="0" borderId="37" xfId="1" applyFont="1" applyBorder="1" applyAlignment="1">
      <alignment horizontal="left" vertical="top" wrapText="1"/>
    </xf>
    <xf numFmtId="0" fontId="24" fillId="0" borderId="38" xfId="1" applyFont="1" applyBorder="1" applyAlignment="1">
      <alignment horizontal="left" vertical="top" wrapText="1"/>
    </xf>
    <xf numFmtId="0" fontId="24" fillId="0" borderId="42" xfId="1" applyFont="1" applyBorder="1" applyAlignment="1">
      <alignment horizontal="left" vertical="top" wrapText="1"/>
    </xf>
    <xf numFmtId="0" fontId="24" fillId="0" borderId="4" xfId="1" applyFont="1" applyBorder="1" applyAlignment="1">
      <alignment horizontal="left" vertical="top" wrapText="1"/>
    </xf>
    <xf numFmtId="0" fontId="24" fillId="0" borderId="5" xfId="1" applyFont="1" applyBorder="1" applyAlignment="1">
      <alignment horizontal="left" vertical="top" wrapText="1"/>
    </xf>
    <xf numFmtId="0" fontId="24" fillId="0" borderId="60" xfId="1" applyFont="1" applyBorder="1" applyAlignment="1">
      <alignment horizontal="left" vertical="top" wrapText="1"/>
    </xf>
    <xf numFmtId="0" fontId="24" fillId="0" borderId="6" xfId="1" applyFont="1" applyBorder="1" applyAlignment="1">
      <alignment horizontal="left" vertical="top" wrapText="1"/>
    </xf>
    <xf numFmtId="0" fontId="24" fillId="0" borderId="7" xfId="1" applyFont="1" applyBorder="1" applyAlignment="1">
      <alignment horizontal="left" vertical="top" wrapText="1"/>
    </xf>
    <xf numFmtId="0" fontId="24" fillId="0" borderId="8" xfId="1" applyFont="1" applyBorder="1" applyAlignment="1">
      <alignment horizontal="left" vertical="top" wrapText="1"/>
    </xf>
    <xf numFmtId="0" fontId="23" fillId="12" borderId="3" xfId="1" applyFont="1" applyFill="1" applyBorder="1" applyAlignment="1">
      <alignment horizontal="center" vertical="center" wrapText="1"/>
    </xf>
    <xf numFmtId="0" fontId="23" fillId="12" borderId="2" xfId="1" applyFont="1" applyFill="1" applyBorder="1" applyAlignment="1">
      <alignment horizontal="center" vertical="center" wrapText="1"/>
    </xf>
    <xf numFmtId="0" fontId="23" fillId="12" borderId="1" xfId="1" applyFont="1" applyFill="1" applyBorder="1" applyAlignment="1">
      <alignment horizontal="center" vertical="center" wrapText="1"/>
    </xf>
    <xf numFmtId="0" fontId="24" fillId="9" borderId="26" xfId="1" applyFont="1" applyFill="1" applyBorder="1" applyAlignment="1">
      <alignment horizontal="center" vertical="center" wrapText="1"/>
    </xf>
    <xf numFmtId="0" fontId="24" fillId="9" borderId="0" xfId="1" applyFont="1" applyFill="1" applyAlignment="1">
      <alignment horizontal="center" vertical="center" wrapText="1"/>
    </xf>
    <xf numFmtId="0" fontId="24" fillId="9" borderId="59" xfId="1" applyFont="1" applyFill="1" applyBorder="1" applyAlignment="1">
      <alignment horizontal="center" vertical="center" wrapText="1"/>
    </xf>
    <xf numFmtId="0" fontId="24" fillId="0" borderId="56" xfId="1" applyFont="1" applyBorder="1" applyAlignment="1">
      <alignment horizontal="center" vertical="center" wrapText="1"/>
    </xf>
    <xf numFmtId="0" fontId="24" fillId="0" borderId="57" xfId="1" applyFont="1" applyBorder="1" applyAlignment="1">
      <alignment horizontal="center" vertical="center" wrapText="1"/>
    </xf>
    <xf numFmtId="0" fontId="24" fillId="0" borderId="58" xfId="1" applyFont="1" applyBorder="1" applyAlignment="1">
      <alignment horizontal="center" vertical="center" wrapText="1"/>
    </xf>
    <xf numFmtId="0" fontId="22" fillId="0" borderId="4" xfId="1" applyFont="1" applyBorder="1" applyAlignment="1">
      <alignment horizontal="center" vertical="center" wrapText="1"/>
    </xf>
    <xf numFmtId="0" fontId="22" fillId="0" borderId="60" xfId="1" applyFont="1" applyBorder="1" applyAlignment="1">
      <alignment horizontal="center" vertical="center" wrapText="1"/>
    </xf>
    <xf numFmtId="0" fontId="24" fillId="0" borderId="12" xfId="1" applyFont="1" applyBorder="1" applyAlignment="1">
      <alignment horizontal="left" vertical="top" wrapText="1"/>
    </xf>
    <xf numFmtId="0" fontId="24" fillId="0" borderId="13" xfId="1" applyFont="1" applyBorder="1" applyAlignment="1">
      <alignment horizontal="left" vertical="top" wrapText="1"/>
    </xf>
    <xf numFmtId="0" fontId="24" fillId="0" borderId="14" xfId="1" applyFont="1" applyBorder="1" applyAlignment="1">
      <alignment horizontal="left" vertical="top" wrapText="1"/>
    </xf>
    <xf numFmtId="0" fontId="22" fillId="9" borderId="6" xfId="1" applyFont="1" applyFill="1" applyBorder="1" applyAlignment="1">
      <alignment horizontal="center" vertical="center" wrapText="1"/>
    </xf>
    <xf numFmtId="0" fontId="22" fillId="9" borderId="8" xfId="1" applyFont="1" applyFill="1" applyBorder="1" applyAlignment="1">
      <alignment horizontal="center" vertical="center" wrapText="1"/>
    </xf>
    <xf numFmtId="0" fontId="24" fillId="9" borderId="15" xfId="1" applyFont="1" applyFill="1" applyBorder="1" applyAlignment="1">
      <alignment horizontal="left" vertical="top" wrapText="1"/>
    </xf>
    <xf numFmtId="0" fontId="24" fillId="9" borderId="11" xfId="1" applyFont="1" applyFill="1" applyBorder="1" applyAlignment="1">
      <alignment horizontal="left" vertical="top" wrapText="1"/>
    </xf>
    <xf numFmtId="0" fontId="24" fillId="9" borderId="16" xfId="1" applyFont="1" applyFill="1" applyBorder="1" applyAlignment="1">
      <alignment horizontal="left" vertical="top" wrapText="1"/>
    </xf>
    <xf numFmtId="0" fontId="22" fillId="0" borderId="6" xfId="1" applyFont="1" applyBorder="1" applyAlignment="1">
      <alignment horizontal="center" vertical="center" wrapText="1"/>
    </xf>
    <xf numFmtId="0" fontId="22" fillId="0" borderId="8" xfId="1" applyFont="1" applyBorder="1" applyAlignment="1">
      <alignment horizontal="center" vertical="center" wrapText="1"/>
    </xf>
    <xf numFmtId="0" fontId="24" fillId="0" borderId="15" xfId="1" applyFont="1" applyBorder="1" applyAlignment="1">
      <alignment horizontal="left" vertical="top" wrapText="1"/>
    </xf>
    <xf numFmtId="0" fontId="24" fillId="0" borderId="11" xfId="1" applyFont="1" applyBorder="1" applyAlignment="1">
      <alignment horizontal="left" vertical="top" wrapText="1"/>
    </xf>
    <xf numFmtId="0" fontId="24" fillId="0" borderId="16" xfId="1" applyFont="1" applyBorder="1" applyAlignment="1">
      <alignment horizontal="left" vertical="top" wrapText="1"/>
    </xf>
    <xf numFmtId="0" fontId="22" fillId="0" borderId="56" xfId="1" applyFont="1" applyBorder="1" applyAlignment="1">
      <alignment horizontal="center" vertical="center" wrapText="1"/>
    </xf>
    <xf numFmtId="0" fontId="22" fillId="0" borderId="58" xfId="1" applyFont="1" applyBorder="1" applyAlignment="1">
      <alignment horizontal="center" vertical="center" wrapText="1"/>
    </xf>
    <xf numFmtId="9" fontId="30" fillId="0" borderId="20" xfId="1" applyNumberFormat="1" applyFont="1" applyBorder="1" applyAlignment="1">
      <alignment horizontal="center" vertical="center" wrapText="1"/>
    </xf>
    <xf numFmtId="9" fontId="30" fillId="0" borderId="21" xfId="1" applyNumberFormat="1" applyFont="1" applyBorder="1" applyAlignment="1">
      <alignment horizontal="center" vertical="center" wrapText="1"/>
    </xf>
    <xf numFmtId="0" fontId="36" fillId="0" borderId="0" xfId="1" applyFont="1" applyAlignment="1">
      <alignment horizontal="center" vertical="top" wrapText="1"/>
    </xf>
    <xf numFmtId="0" fontId="36" fillId="0" borderId="41" xfId="1" applyFont="1" applyBorder="1" applyAlignment="1">
      <alignment horizontal="center" vertical="top" wrapText="1"/>
    </xf>
    <xf numFmtId="0" fontId="25" fillId="0" borderId="13" xfId="1" applyFont="1" applyBorder="1" applyAlignment="1">
      <alignment horizontal="center" vertical="center" wrapText="1"/>
    </xf>
    <xf numFmtId="0" fontId="25" fillId="0" borderId="14" xfId="1" applyFont="1" applyBorder="1" applyAlignment="1">
      <alignment horizontal="center" vertical="center" wrapText="1"/>
    </xf>
    <xf numFmtId="0" fontId="25" fillId="0" borderId="24" xfId="1" applyFont="1" applyBorder="1" applyAlignment="1">
      <alignment horizontal="center" vertical="center" wrapText="1"/>
    </xf>
    <xf numFmtId="0" fontId="25" fillId="0" borderId="10" xfId="1" applyFont="1" applyBorder="1" applyAlignment="1">
      <alignment horizontal="center" vertical="center" wrapText="1"/>
    </xf>
    <xf numFmtId="0" fontId="30" fillId="0" borderId="3" xfId="1" applyFont="1" applyBorder="1" applyAlignment="1">
      <alignment horizontal="center" vertical="center" wrapText="1"/>
    </xf>
    <xf numFmtId="0" fontId="30" fillId="0" borderId="2" xfId="1" applyFont="1" applyBorder="1" applyAlignment="1">
      <alignment horizontal="center" vertical="center" wrapText="1"/>
    </xf>
    <xf numFmtId="0" fontId="30" fillId="0" borderId="1" xfId="1" applyFont="1" applyBorder="1" applyAlignment="1">
      <alignment horizontal="center" vertical="center" wrapText="1"/>
    </xf>
    <xf numFmtId="14" fontId="25" fillId="0" borderId="3" xfId="1" applyNumberFormat="1" applyFont="1" applyBorder="1" applyAlignment="1">
      <alignment horizontal="center" vertical="center" wrapText="1"/>
    </xf>
    <xf numFmtId="0" fontId="25" fillId="0" borderId="1" xfId="1" applyFont="1" applyBorder="1" applyAlignment="1">
      <alignment horizontal="center" vertical="center" wrapText="1"/>
    </xf>
    <xf numFmtId="0" fontId="34" fillId="0" borderId="13" xfId="1" applyFont="1" applyBorder="1" applyAlignment="1">
      <alignment horizontal="left" vertical="center" wrapText="1"/>
    </xf>
    <xf numFmtId="0" fontId="34" fillId="0" borderId="14" xfId="1" applyFont="1" applyBorder="1" applyAlignment="1">
      <alignment horizontal="left" vertical="center" wrapText="1"/>
    </xf>
    <xf numFmtId="0" fontId="34" fillId="0" borderId="11" xfId="1" applyFont="1" applyBorder="1" applyAlignment="1">
      <alignment horizontal="left" vertical="center" wrapText="1"/>
    </xf>
    <xf numFmtId="0" fontId="34" fillId="0" borderId="16" xfId="1" applyFont="1" applyBorder="1" applyAlignment="1">
      <alignment horizontal="left" vertical="center" wrapText="1"/>
    </xf>
    <xf numFmtId="0" fontId="34" fillId="0" borderId="18" xfId="1" applyFont="1" applyBorder="1" applyAlignment="1">
      <alignment horizontal="left" vertical="center" wrapText="1"/>
    </xf>
    <xf numFmtId="0" fontId="34" fillId="0" borderId="19" xfId="1" applyFont="1" applyBorder="1" applyAlignment="1">
      <alignment horizontal="left" vertical="center" wrapText="1"/>
    </xf>
    <xf numFmtId="0" fontId="23" fillId="12" borderId="13" xfId="1" applyFont="1" applyFill="1" applyBorder="1" applyAlignment="1">
      <alignment horizontal="center" vertical="center" wrapText="1"/>
    </xf>
    <xf numFmtId="0" fontId="23" fillId="12" borderId="14" xfId="1" applyFont="1" applyFill="1" applyBorder="1" applyAlignment="1">
      <alignment horizontal="center" vertical="center" wrapText="1"/>
    </xf>
    <xf numFmtId="0" fontId="33" fillId="0" borderId="11" xfId="1" applyFont="1" applyBorder="1" applyAlignment="1">
      <alignment horizontal="left" vertical="center" wrapText="1"/>
    </xf>
    <xf numFmtId="0" fontId="33" fillId="0" borderId="16" xfId="1" applyFont="1" applyBorder="1" applyAlignment="1">
      <alignment horizontal="left" vertical="center" wrapText="1"/>
    </xf>
    <xf numFmtId="0" fontId="33" fillId="0" borderId="18" xfId="1" applyFont="1" applyBorder="1" applyAlignment="1">
      <alignment horizontal="left" vertical="center" wrapText="1"/>
    </xf>
    <xf numFmtId="0" fontId="33" fillId="0" borderId="19" xfId="1" applyFont="1" applyBorder="1" applyAlignment="1">
      <alignment horizontal="left" vertical="center" wrapText="1"/>
    </xf>
    <xf numFmtId="0" fontId="31" fillId="0" borderId="44" xfId="0" applyFont="1" applyBorder="1" applyAlignment="1">
      <alignment horizontal="center" vertical="center" wrapText="1"/>
    </xf>
    <xf numFmtId="0" fontId="31" fillId="0" borderId="20" xfId="0" applyFont="1" applyBorder="1" applyAlignment="1">
      <alignment horizontal="center" vertical="center" wrapText="1"/>
    </xf>
    <xf numFmtId="0" fontId="23" fillId="12" borderId="4" xfId="1" applyFont="1" applyFill="1" applyBorder="1" applyAlignment="1">
      <alignment horizontal="center" vertical="center" wrapText="1"/>
    </xf>
    <xf numFmtId="0" fontId="23" fillId="12" borderId="5" xfId="1" applyFont="1" applyFill="1" applyBorder="1" applyAlignment="1">
      <alignment horizontal="center" vertical="center" wrapText="1"/>
    </xf>
    <xf numFmtId="0" fontId="23" fillId="12" borderId="60" xfId="1" applyFont="1" applyFill="1" applyBorder="1" applyAlignment="1">
      <alignment horizontal="center" vertical="center" wrapText="1"/>
    </xf>
    <xf numFmtId="0" fontId="24" fillId="0" borderId="6" xfId="1" applyFont="1" applyBorder="1" applyAlignment="1">
      <alignment horizontal="left" vertical="center" wrapText="1" indent="1"/>
    </xf>
    <xf numFmtId="0" fontId="24" fillId="0" borderId="7" xfId="1" applyFont="1" applyBorder="1" applyAlignment="1">
      <alignment horizontal="left" vertical="center" wrapText="1" indent="1"/>
    </xf>
    <xf numFmtId="0" fontId="24" fillId="0" borderId="8" xfId="1" applyFont="1" applyBorder="1" applyAlignment="1">
      <alignment horizontal="left" vertical="center" wrapText="1" indent="1"/>
    </xf>
    <xf numFmtId="0" fontId="23" fillId="8" borderId="61" xfId="1" applyFont="1" applyFill="1" applyBorder="1" applyAlignment="1">
      <alignment horizontal="center" vertical="center" wrapText="1"/>
    </xf>
    <xf numFmtId="0" fontId="23" fillId="8" borderId="64" xfId="1" applyFont="1" applyFill="1" applyBorder="1" applyAlignment="1">
      <alignment horizontal="center" vertical="center" wrapText="1"/>
    </xf>
    <xf numFmtId="0" fontId="23" fillId="8" borderId="62" xfId="1" applyFont="1" applyFill="1" applyBorder="1" applyAlignment="1">
      <alignment horizontal="center" vertical="center" wrapText="1"/>
    </xf>
    <xf numFmtId="0" fontId="23" fillId="8" borderId="65" xfId="1" applyFont="1" applyFill="1" applyBorder="1" applyAlignment="1">
      <alignment horizontal="center" vertical="center" wrapText="1"/>
    </xf>
    <xf numFmtId="0" fontId="23" fillId="8" borderId="63" xfId="1" applyFont="1" applyFill="1" applyBorder="1" applyAlignment="1">
      <alignment horizontal="center" vertical="center" wrapText="1"/>
    </xf>
    <xf numFmtId="0" fontId="23" fillId="8" borderId="66" xfId="1" applyFont="1" applyFill="1" applyBorder="1" applyAlignment="1">
      <alignment horizontal="center" vertical="center" wrapText="1"/>
    </xf>
    <xf numFmtId="0" fontId="25" fillId="0" borderId="41" xfId="1" applyFont="1" applyBorder="1" applyAlignment="1">
      <alignment horizontal="left" vertical="center" wrapText="1" indent="10"/>
    </xf>
    <xf numFmtId="0" fontId="24" fillId="9" borderId="9" xfId="1" applyFont="1" applyFill="1" applyBorder="1" applyAlignment="1">
      <alignment horizontal="center" vertical="top" wrapText="1"/>
    </xf>
    <xf numFmtId="0" fontId="24" fillId="9" borderId="46" xfId="1" applyFont="1" applyFill="1" applyBorder="1" applyAlignment="1">
      <alignment horizontal="center" vertical="top" wrapText="1"/>
    </xf>
    <xf numFmtId="0" fontId="24" fillId="9" borderId="10" xfId="1" applyFont="1" applyFill="1" applyBorder="1" applyAlignment="1">
      <alignment horizontal="center" vertical="top" wrapText="1"/>
    </xf>
    <xf numFmtId="0" fontId="24" fillId="0" borderId="13" xfId="1" applyFont="1" applyBorder="1" applyAlignment="1">
      <alignment horizontal="center" vertical="center" wrapText="1"/>
    </xf>
    <xf numFmtId="0" fontId="24" fillId="0" borderId="14" xfId="1" applyFont="1" applyBorder="1" applyAlignment="1">
      <alignment horizontal="center" vertical="center" wrapText="1"/>
    </xf>
    <xf numFmtId="0" fontId="24" fillId="0" borderId="24" xfId="1" applyFont="1" applyBorder="1" applyAlignment="1">
      <alignment horizontal="center" vertical="center" wrapText="1"/>
    </xf>
    <xf numFmtId="0" fontId="24" fillId="0" borderId="10" xfId="1" applyFont="1" applyBorder="1" applyAlignment="1">
      <alignment horizontal="center" vertical="center" wrapText="1"/>
    </xf>
    <xf numFmtId="14" fontId="24" fillId="0" borderId="3" xfId="1" applyNumberFormat="1" applyFont="1" applyBorder="1" applyAlignment="1">
      <alignment horizontal="center" vertical="center" wrapText="1"/>
    </xf>
    <xf numFmtId="0" fontId="24" fillId="0" borderId="1" xfId="1" applyFont="1" applyBorder="1" applyAlignment="1">
      <alignment horizontal="center" vertical="center" wrapText="1"/>
    </xf>
    <xf numFmtId="0" fontId="58" fillId="42" borderId="33" xfId="0" applyFont="1" applyFill="1" applyBorder="1" applyAlignment="1">
      <alignment horizontal="center" vertical="center" wrapText="1"/>
    </xf>
    <xf numFmtId="0" fontId="58" fillId="0" borderId="103" xfId="0" applyFont="1" applyBorder="1" applyAlignment="1">
      <alignment horizontal="left" vertical="top" wrapText="1"/>
    </xf>
    <xf numFmtId="0" fontId="58" fillId="42" borderId="104" xfId="0" applyFont="1" applyFill="1" applyBorder="1" applyAlignment="1">
      <alignment horizontal="center" vertical="top" wrapText="1"/>
    </xf>
    <xf numFmtId="0" fontId="58" fillId="42" borderId="33" xfId="0" applyFont="1" applyFill="1" applyBorder="1" applyAlignment="1">
      <alignment horizontal="left" vertical="top" wrapText="1"/>
    </xf>
    <xf numFmtId="0" fontId="58" fillId="42" borderId="103" xfId="0" applyFont="1" applyFill="1" applyBorder="1" applyAlignment="1">
      <alignment horizontal="left" vertical="top" wrapText="1"/>
    </xf>
    <xf numFmtId="0" fontId="24" fillId="9" borderId="4" xfId="1" applyFont="1" applyFill="1" applyBorder="1" applyAlignment="1">
      <alignment horizontal="left" vertical="top" wrapText="1"/>
    </xf>
    <xf numFmtId="0" fontId="24" fillId="9" borderId="5" xfId="1" applyFont="1" applyFill="1" applyBorder="1" applyAlignment="1">
      <alignment horizontal="left" vertical="top" wrapText="1"/>
    </xf>
    <xf numFmtId="0" fontId="24" fillId="9" borderId="60" xfId="1" applyFont="1" applyFill="1" applyBorder="1" applyAlignment="1">
      <alignment horizontal="left" vertical="top" wrapText="1"/>
    </xf>
    <xf numFmtId="0" fontId="24" fillId="2" borderId="4" xfId="1" applyFont="1" applyFill="1" applyBorder="1" applyAlignment="1">
      <alignment horizontal="left" vertical="top" wrapText="1"/>
    </xf>
    <xf numFmtId="0" fontId="24" fillId="2" borderId="5" xfId="1" applyFont="1" applyFill="1" applyBorder="1" applyAlignment="1">
      <alignment horizontal="left" vertical="top" wrapText="1"/>
    </xf>
    <xf numFmtId="0" fontId="24" fillId="2" borderId="60" xfId="1" applyFont="1" applyFill="1" applyBorder="1" applyAlignment="1">
      <alignment horizontal="left" vertical="top" wrapText="1"/>
    </xf>
    <xf numFmtId="0" fontId="24" fillId="0" borderId="12" xfId="1" applyFont="1" applyBorder="1" applyAlignment="1">
      <alignment horizontal="left" vertical="center" wrapText="1"/>
    </xf>
    <xf numFmtId="0" fontId="24" fillId="0" borderId="13" xfId="1" applyFont="1" applyBorder="1" applyAlignment="1">
      <alignment horizontal="left" vertical="center" wrapText="1"/>
    </xf>
    <xf numFmtId="0" fontId="24" fillId="0" borderId="14" xfId="1" applyFont="1" applyBorder="1" applyAlignment="1">
      <alignment horizontal="left" vertical="center" wrapText="1"/>
    </xf>
    <xf numFmtId="0" fontId="58" fillId="0" borderId="94" xfId="0" applyFont="1" applyBorder="1" applyAlignment="1">
      <alignment horizontal="left" vertical="top" wrapText="1"/>
    </xf>
    <xf numFmtId="0" fontId="59" fillId="0" borderId="95" xfId="0" applyFont="1" applyBorder="1"/>
    <xf numFmtId="0" fontId="59" fillId="0" borderId="96" xfId="0" applyFont="1" applyBorder="1"/>
    <xf numFmtId="0" fontId="58" fillId="43" borderId="97" xfId="0" applyFont="1" applyFill="1" applyBorder="1" applyAlignment="1">
      <alignment horizontal="left" vertical="top" wrapText="1"/>
    </xf>
    <xf numFmtId="0" fontId="59" fillId="0" borderId="98" xfId="0" applyFont="1" applyBorder="1"/>
    <xf numFmtId="0" fontId="59" fillId="0" borderId="99" xfId="0" applyFont="1" applyBorder="1"/>
    <xf numFmtId="0" fontId="58" fillId="0" borderId="97" xfId="0" applyFont="1" applyBorder="1" applyAlignment="1">
      <alignment horizontal="left" vertical="top" wrapText="1"/>
    </xf>
    <xf numFmtId="0" fontId="24" fillId="9" borderId="6" xfId="1" applyFont="1" applyFill="1" applyBorder="1" applyAlignment="1">
      <alignment horizontal="left" vertical="top" wrapText="1"/>
    </xf>
    <xf numFmtId="0" fontId="24" fillId="9" borderId="7" xfId="1" applyFont="1" applyFill="1" applyBorder="1" applyAlignment="1">
      <alignment horizontal="left" vertical="top" wrapText="1"/>
    </xf>
    <xf numFmtId="0" fontId="24" fillId="9" borderId="8" xfId="1" applyFont="1" applyFill="1" applyBorder="1" applyAlignment="1">
      <alignment horizontal="left" vertical="top" wrapText="1"/>
    </xf>
    <xf numFmtId="0" fontId="24" fillId="41" borderId="6" xfId="1" applyFont="1" applyFill="1" applyBorder="1" applyAlignment="1">
      <alignment horizontal="left" vertical="top" wrapText="1"/>
    </xf>
    <xf numFmtId="0" fontId="24" fillId="41" borderId="7" xfId="1" applyFont="1" applyFill="1" applyBorder="1" applyAlignment="1">
      <alignment horizontal="left" vertical="top" wrapText="1"/>
    </xf>
    <xf numFmtId="0" fontId="24" fillId="41" borderId="8" xfId="1" applyFont="1" applyFill="1" applyBorder="1" applyAlignment="1">
      <alignment horizontal="left" vertical="top" wrapText="1"/>
    </xf>
    <xf numFmtId="14" fontId="25" fillId="0" borderId="1" xfId="1" applyNumberFormat="1" applyFont="1" applyBorder="1" applyAlignment="1">
      <alignment horizontal="center" vertical="center" wrapText="1"/>
    </xf>
    <xf numFmtId="0" fontId="58" fillId="0" borderId="100" xfId="0" applyFont="1" applyBorder="1" applyAlignment="1">
      <alignment horizontal="left" vertical="top" wrapText="1"/>
    </xf>
    <xf numFmtId="0" fontId="59" fillId="0" borderId="101" xfId="0" applyFont="1" applyBorder="1"/>
    <xf numFmtId="0" fontId="59" fillId="0" borderId="102" xfId="0" applyFont="1" applyBorder="1"/>
    <xf numFmtId="0" fontId="24" fillId="9" borderId="26" xfId="1" applyFont="1" applyFill="1" applyBorder="1" applyAlignment="1">
      <alignment horizontal="left" vertical="center" wrapText="1"/>
    </xf>
    <xf numFmtId="0" fontId="24" fillId="9" borderId="0" xfId="1" applyFont="1" applyFill="1" applyAlignment="1">
      <alignment horizontal="left" vertical="center" wrapText="1"/>
    </xf>
    <xf numFmtId="0" fontId="24" fillId="9" borderId="59" xfId="1" applyFont="1" applyFill="1" applyBorder="1" applyAlignment="1">
      <alignment horizontal="left" vertical="center" wrapText="1"/>
    </xf>
    <xf numFmtId="0" fontId="24" fillId="9" borderId="56" xfId="1" applyFont="1" applyFill="1" applyBorder="1" applyAlignment="1">
      <alignment horizontal="center" vertical="top" wrapText="1"/>
    </xf>
    <xf numFmtId="0" fontId="24" fillId="9" borderId="57" xfId="1" applyFont="1" applyFill="1" applyBorder="1" applyAlignment="1">
      <alignment horizontal="center" vertical="top" wrapText="1"/>
    </xf>
    <xf numFmtId="0" fontId="24" fillId="9" borderId="58" xfId="1" applyFont="1" applyFill="1" applyBorder="1" applyAlignment="1">
      <alignment horizontal="center" vertical="top" wrapText="1"/>
    </xf>
    <xf numFmtId="0" fontId="29" fillId="9" borderId="6" xfId="1" applyFont="1" applyFill="1" applyBorder="1" applyAlignment="1">
      <alignment horizontal="left" vertical="center" wrapText="1"/>
    </xf>
    <xf numFmtId="0" fontId="29" fillId="9" borderId="7" xfId="1" applyFont="1" applyFill="1" applyBorder="1" applyAlignment="1">
      <alignment horizontal="left" vertical="center" wrapText="1"/>
    </xf>
    <xf numFmtId="0" fontId="29" fillId="9" borderId="8" xfId="1" applyFont="1" applyFill="1" applyBorder="1" applyAlignment="1">
      <alignment horizontal="left" vertical="center" wrapText="1"/>
    </xf>
    <xf numFmtId="0" fontId="29" fillId="0" borderId="56" xfId="1" applyFont="1" applyBorder="1" applyAlignment="1">
      <alignment horizontal="left" vertical="center" wrapText="1"/>
    </xf>
    <xf numFmtId="0" fontId="29" fillId="0" borderId="57" xfId="1" applyFont="1" applyBorder="1" applyAlignment="1">
      <alignment horizontal="left" vertical="center" wrapText="1"/>
    </xf>
    <xf numFmtId="0" fontId="29" fillId="0" borderId="58" xfId="1" applyFont="1" applyBorder="1" applyAlignment="1">
      <alignment horizontal="left" vertical="center" wrapText="1"/>
    </xf>
    <xf numFmtId="0" fontId="29" fillId="0" borderId="9" xfId="1" applyFont="1" applyBorder="1" applyAlignment="1">
      <alignment horizontal="left" vertical="top" wrapText="1"/>
    </xf>
    <xf numFmtId="0" fontId="29" fillId="0" borderId="46" xfId="1" applyFont="1" applyBorder="1" applyAlignment="1">
      <alignment horizontal="left" vertical="top" wrapText="1"/>
    </xf>
    <xf numFmtId="0" fontId="29" fillId="0" borderId="10" xfId="1" applyFont="1" applyBorder="1" applyAlignment="1">
      <alignment horizontal="left" vertical="top" wrapText="1"/>
    </xf>
    <xf numFmtId="0" fontId="29" fillId="0" borderId="56" xfId="1" applyFont="1" applyBorder="1" applyAlignment="1">
      <alignment horizontal="left" vertical="top" wrapText="1"/>
    </xf>
    <xf numFmtId="0" fontId="29" fillId="0" borderId="57" xfId="1" applyFont="1" applyBorder="1" applyAlignment="1">
      <alignment horizontal="left" vertical="top" wrapText="1"/>
    </xf>
    <xf numFmtId="0" fontId="29" fillId="0" borderId="58" xfId="1" applyFont="1" applyBorder="1" applyAlignment="1">
      <alignment horizontal="left" vertical="top" wrapText="1"/>
    </xf>
    <xf numFmtId="0" fontId="61" fillId="0" borderId="103" xfId="1" applyFont="1" applyBorder="1" applyAlignment="1">
      <alignment horizontal="left" vertical="top" wrapText="1"/>
    </xf>
    <xf numFmtId="0" fontId="61" fillId="42" borderId="103" xfId="1" applyFont="1" applyFill="1" applyBorder="1" applyAlignment="1">
      <alignment horizontal="left" vertical="top" wrapText="1"/>
    </xf>
    <xf numFmtId="0" fontId="24" fillId="9" borderId="56" xfId="1" applyFont="1" applyFill="1" applyBorder="1" applyAlignment="1">
      <alignment horizontal="left" vertical="center" wrapText="1"/>
    </xf>
    <xf numFmtId="0" fontId="24" fillId="9" borderId="57" xfId="1" applyFont="1" applyFill="1" applyBorder="1" applyAlignment="1">
      <alignment horizontal="left" vertical="center" wrapText="1"/>
    </xf>
    <xf numFmtId="0" fontId="24" fillId="9" borderId="58" xfId="1" applyFont="1" applyFill="1" applyBorder="1" applyAlignment="1">
      <alignment horizontal="left" vertical="center" wrapText="1"/>
    </xf>
    <xf numFmtId="0" fontId="54" fillId="9" borderId="9" xfId="1" applyFont="1" applyFill="1" applyBorder="1" applyAlignment="1">
      <alignment horizontal="center" vertical="top" wrapText="1"/>
    </xf>
    <xf numFmtId="0" fontId="54" fillId="9" borderId="46" xfId="1" applyFont="1" applyFill="1" applyBorder="1" applyAlignment="1">
      <alignment horizontal="center" vertical="top" wrapText="1"/>
    </xf>
    <xf numFmtId="0" fontId="54" fillId="9" borderId="10" xfId="1" applyFont="1" applyFill="1" applyBorder="1" applyAlignment="1">
      <alignment horizontal="center" vertical="top" wrapText="1"/>
    </xf>
    <xf numFmtId="0" fontId="47" fillId="25" borderId="75" xfId="4" applyFont="1" applyFill="1" applyBorder="1" applyAlignment="1" applyProtection="1">
      <alignment horizontal="center" vertical="center" wrapText="1"/>
      <protection hidden="1"/>
    </xf>
    <xf numFmtId="0" fontId="47" fillId="25" borderId="76" xfId="4" applyFont="1" applyFill="1" applyBorder="1" applyAlignment="1" applyProtection="1">
      <alignment horizontal="center" vertical="center" wrapText="1"/>
      <protection hidden="1"/>
    </xf>
    <xf numFmtId="0" fontId="47" fillId="25" borderId="77" xfId="4" applyFont="1" applyFill="1" applyBorder="1" applyAlignment="1" applyProtection="1">
      <alignment horizontal="center" vertical="center" wrapText="1"/>
      <protection hidden="1"/>
    </xf>
    <xf numFmtId="9" fontId="50" fillId="40" borderId="44" xfId="4" applyNumberFormat="1" applyFont="1" applyFill="1" applyBorder="1" applyAlignment="1" applyProtection="1">
      <alignment horizontal="center"/>
      <protection hidden="1"/>
    </xf>
    <xf numFmtId="9" fontId="50" fillId="40" borderId="20" xfId="4" applyNumberFormat="1" applyFont="1" applyFill="1" applyBorder="1" applyAlignment="1" applyProtection="1">
      <alignment horizontal="center"/>
      <protection hidden="1"/>
    </xf>
    <xf numFmtId="0" fontId="46" fillId="22" borderId="80" xfId="4" applyFont="1" applyFill="1" applyBorder="1" applyAlignment="1" applyProtection="1">
      <alignment horizontal="center" vertical="center" wrapText="1"/>
      <protection hidden="1"/>
    </xf>
    <xf numFmtId="0" fontId="46" fillId="22" borderId="81" xfId="4" applyFont="1" applyFill="1" applyBorder="1" applyAlignment="1" applyProtection="1">
      <alignment horizontal="center" vertical="center" wrapText="1"/>
      <protection hidden="1"/>
    </xf>
    <xf numFmtId="0" fontId="46" fillId="22" borderId="82" xfId="4" applyFont="1" applyFill="1" applyBorder="1" applyAlignment="1" applyProtection="1">
      <alignment horizontal="center" vertical="center" wrapText="1"/>
      <protection hidden="1"/>
    </xf>
    <xf numFmtId="0" fontId="46" fillId="23" borderId="80" xfId="4" applyFont="1" applyFill="1" applyBorder="1" applyAlignment="1" applyProtection="1">
      <alignment horizontal="center" vertical="center" wrapText="1"/>
      <protection hidden="1"/>
    </xf>
    <xf numFmtId="0" fontId="46" fillId="23" borderId="81" xfId="4" applyFont="1" applyFill="1" applyBorder="1" applyAlignment="1" applyProtection="1">
      <alignment horizontal="center" vertical="center" wrapText="1"/>
      <protection hidden="1"/>
    </xf>
    <xf numFmtId="0" fontId="46" fillId="23" borderId="82" xfId="4" applyFont="1" applyFill="1" applyBorder="1" applyAlignment="1" applyProtection="1">
      <alignment horizontal="center" vertical="center" wrapText="1"/>
      <protection hidden="1"/>
    </xf>
    <xf numFmtId="0" fontId="44" fillId="24" borderId="80" xfId="4" applyFont="1" applyFill="1" applyBorder="1" applyAlignment="1" applyProtection="1">
      <alignment horizontal="center" vertical="center" wrapText="1"/>
      <protection hidden="1"/>
    </xf>
    <xf numFmtId="0" fontId="44" fillId="24" borderId="81" xfId="4" applyFont="1" applyFill="1" applyBorder="1" applyAlignment="1" applyProtection="1">
      <alignment horizontal="center" vertical="center" wrapText="1"/>
      <protection hidden="1"/>
    </xf>
    <xf numFmtId="0" fontId="44" fillId="24" borderId="82" xfId="4" applyFont="1" applyFill="1" applyBorder="1" applyAlignment="1" applyProtection="1">
      <alignment horizontal="center" vertical="center" wrapText="1"/>
      <protection hidden="1"/>
    </xf>
    <xf numFmtId="0" fontId="38" fillId="18" borderId="78" xfId="4" applyFont="1" applyFill="1" applyBorder="1" applyAlignment="1" applyProtection="1">
      <alignment horizontal="center" vertical="center"/>
      <protection hidden="1"/>
    </xf>
    <xf numFmtId="0" fontId="38" fillId="18" borderId="83" xfId="4" applyFont="1" applyFill="1" applyBorder="1" applyAlignment="1" applyProtection="1">
      <alignment horizontal="center" vertical="center"/>
      <protection hidden="1"/>
    </xf>
    <xf numFmtId="0" fontId="45" fillId="19" borderId="79" xfId="4" applyFont="1" applyFill="1" applyBorder="1" applyAlignment="1" applyProtection="1">
      <alignment horizontal="center" vertical="center" wrapText="1"/>
      <protection hidden="1"/>
    </xf>
    <xf numFmtId="0" fontId="45" fillId="19" borderId="84" xfId="4" applyFont="1" applyFill="1" applyBorder="1" applyAlignment="1" applyProtection="1">
      <alignment horizontal="center" vertical="center" wrapText="1"/>
      <protection hidden="1"/>
    </xf>
    <xf numFmtId="0" fontId="46" fillId="16" borderId="80" xfId="4" applyFont="1" applyFill="1" applyBorder="1" applyAlignment="1" applyProtection="1">
      <alignment horizontal="center" vertical="center" wrapText="1"/>
      <protection hidden="1"/>
    </xf>
    <xf numFmtId="0" fontId="46" fillId="16" borderId="81" xfId="4" applyFont="1" applyFill="1" applyBorder="1" applyAlignment="1" applyProtection="1">
      <alignment horizontal="center" vertical="center" wrapText="1"/>
      <protection hidden="1"/>
    </xf>
    <xf numFmtId="0" fontId="46" fillId="16" borderId="82" xfId="4" applyFont="1" applyFill="1" applyBorder="1" applyAlignment="1" applyProtection="1">
      <alignment horizontal="center" vertical="center" wrapText="1"/>
      <protection hidden="1"/>
    </xf>
    <xf numFmtId="0" fontId="46" fillId="20" borderId="80" xfId="4" applyFont="1" applyFill="1" applyBorder="1" applyAlignment="1" applyProtection="1">
      <alignment horizontal="center" vertical="center" wrapText="1"/>
      <protection hidden="1"/>
    </xf>
    <xf numFmtId="0" fontId="46" fillId="20" borderId="81" xfId="4" applyFont="1" applyFill="1" applyBorder="1" applyAlignment="1" applyProtection="1">
      <alignment horizontal="center" vertical="center" wrapText="1"/>
      <protection hidden="1"/>
    </xf>
    <xf numFmtId="0" fontId="46" fillId="20" borderId="82" xfId="4" applyFont="1" applyFill="1" applyBorder="1" applyAlignment="1" applyProtection="1">
      <alignment horizontal="center" vertical="center" wrapText="1"/>
      <protection hidden="1"/>
    </xf>
    <xf numFmtId="0" fontId="46" fillId="21" borderId="80" xfId="4" applyFont="1" applyFill="1" applyBorder="1" applyAlignment="1" applyProtection="1">
      <alignment horizontal="center" vertical="center" wrapText="1"/>
      <protection hidden="1"/>
    </xf>
    <xf numFmtId="0" fontId="46" fillId="21" borderId="81" xfId="4" applyFont="1" applyFill="1" applyBorder="1" applyAlignment="1" applyProtection="1">
      <alignment horizontal="center" vertical="center" wrapText="1"/>
      <protection hidden="1"/>
    </xf>
    <xf numFmtId="0" fontId="46" fillId="21" borderId="82" xfId="4" applyFont="1" applyFill="1" applyBorder="1" applyAlignment="1" applyProtection="1">
      <alignment horizontal="center" vertical="center" wrapText="1"/>
      <protection hidden="1"/>
    </xf>
    <xf numFmtId="0" fontId="44" fillId="17" borderId="75" xfId="4" applyFont="1" applyFill="1" applyBorder="1" applyAlignment="1" applyProtection="1">
      <alignment horizontal="center" vertical="center" wrapText="1"/>
      <protection hidden="1"/>
    </xf>
    <xf numFmtId="0" fontId="44" fillId="17" borderId="76" xfId="4" applyFont="1" applyFill="1" applyBorder="1" applyAlignment="1" applyProtection="1">
      <alignment horizontal="center" vertical="center" wrapText="1"/>
      <protection hidden="1"/>
    </xf>
    <xf numFmtId="0" fontId="44" fillId="17" borderId="77" xfId="4" applyFont="1" applyFill="1" applyBorder="1" applyAlignment="1" applyProtection="1">
      <alignment horizontal="center" vertical="center" wrapText="1"/>
      <protection hidden="1"/>
    </xf>
    <xf numFmtId="0" fontId="40" fillId="15" borderId="72" xfId="4" applyFont="1" applyFill="1" applyBorder="1" applyAlignment="1" applyProtection="1">
      <alignment horizontal="center"/>
      <protection hidden="1"/>
    </xf>
    <xf numFmtId="0" fontId="41" fillId="16" borderId="67" xfId="4" applyFont="1" applyFill="1" applyBorder="1" applyAlignment="1" applyProtection="1">
      <alignment horizontal="center"/>
      <protection hidden="1"/>
    </xf>
    <xf numFmtId="0" fontId="41" fillId="16" borderId="73" xfId="4" applyFont="1" applyFill="1" applyBorder="1" applyAlignment="1" applyProtection="1">
      <alignment horizontal="center"/>
      <protection hidden="1"/>
    </xf>
    <xf numFmtId="0" fontId="42" fillId="0" borderId="67" xfId="4" applyFont="1" applyBorder="1" applyAlignment="1" applyProtection="1">
      <alignment horizontal="center"/>
      <protection hidden="1"/>
    </xf>
    <xf numFmtId="0" fontId="42" fillId="0" borderId="74" xfId="4" applyFont="1" applyBorder="1" applyAlignment="1" applyProtection="1">
      <alignment horizontal="center"/>
      <protection hidden="1"/>
    </xf>
    <xf numFmtId="0" fontId="42" fillId="0" borderId="73" xfId="4" applyFont="1" applyBorder="1" applyAlignment="1" applyProtection="1">
      <alignment horizontal="center"/>
      <protection hidden="1"/>
    </xf>
    <xf numFmtId="17" fontId="41" fillId="16" borderId="67" xfId="4" applyNumberFormat="1" applyFont="1" applyFill="1" applyBorder="1" applyAlignment="1" applyProtection="1">
      <alignment horizontal="center"/>
      <protection hidden="1"/>
    </xf>
    <xf numFmtId="17" fontId="41" fillId="16" borderId="73" xfId="4" applyNumberFormat="1" applyFont="1" applyFill="1" applyBorder="1" applyAlignment="1" applyProtection="1">
      <alignment horizontal="center"/>
      <protection hidden="1"/>
    </xf>
    <xf numFmtId="17" fontId="43" fillId="0" borderId="67" xfId="4" applyNumberFormat="1" applyFont="1" applyBorder="1" applyAlignment="1" applyProtection="1">
      <alignment horizontal="center"/>
      <protection hidden="1"/>
    </xf>
    <xf numFmtId="17" fontId="43" fillId="0" borderId="74" xfId="4" applyNumberFormat="1" applyFont="1" applyBorder="1" applyAlignment="1" applyProtection="1">
      <alignment horizontal="center"/>
      <protection hidden="1"/>
    </xf>
    <xf numFmtId="17" fontId="43" fillId="0" borderId="73" xfId="4" applyNumberFormat="1" applyFont="1" applyBorder="1" applyAlignment="1" applyProtection="1">
      <alignment horizontal="center"/>
      <protection hidden="1"/>
    </xf>
  </cellXfs>
  <cellStyles count="5">
    <cellStyle name="Normal" xfId="0" builtinId="0"/>
    <cellStyle name="Normal 2" xfId="1" xr:uid="{00000000-0005-0000-0000-000001000000}"/>
    <cellStyle name="Normal 3" xfId="2" xr:uid="{00000000-0005-0000-0000-000002000000}"/>
    <cellStyle name="Normal 5" xfId="4" xr:uid="{00000000-0005-0000-0000-000003000000}"/>
    <cellStyle name="Percent 2" xfId="3" xr:uid="{00000000-0005-0000-0000-000004000000}"/>
  </cellStyles>
  <dxfs count="341">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theme="0"/>
      </font>
    </dxf>
    <dxf>
      <fill>
        <patternFill>
          <bgColor rgb="FFFF0000"/>
        </patternFill>
      </fill>
    </dxf>
    <dxf>
      <fill>
        <patternFill>
          <bgColor rgb="FFFFC000"/>
        </patternFill>
      </fill>
    </dxf>
    <dxf>
      <fill>
        <patternFill>
          <bgColor rgb="FF00B050"/>
        </patternFill>
      </fill>
    </dxf>
    <dxf>
      <font>
        <b/>
        <i val="0"/>
      </font>
      <fill>
        <patternFill>
          <bgColor rgb="FF92D050"/>
        </patternFill>
      </fill>
    </dxf>
    <dxf>
      <font>
        <b/>
        <i/>
      </font>
      <fill>
        <patternFill>
          <bgColor rgb="FFFF0000"/>
        </patternFill>
      </fill>
    </dxf>
    <dxf>
      <font>
        <b/>
        <i val="0"/>
      </font>
      <fill>
        <patternFill>
          <bgColor rgb="FFFFC000"/>
        </patternFill>
      </fill>
    </dxf>
    <dxf>
      <font>
        <color rgb="FF006100"/>
      </font>
      <fill>
        <patternFill>
          <bgColor rgb="FFC6EFCE"/>
        </patternFill>
      </fill>
    </dxf>
    <dxf>
      <font>
        <color rgb="FF9C0006"/>
      </font>
      <fill>
        <patternFill>
          <bgColor rgb="FFFFC7CE"/>
        </patternFill>
      </fill>
    </dxf>
    <dxf>
      <fill>
        <patternFill>
          <bgColor rgb="FF00B050"/>
        </patternFill>
      </fill>
      <border>
        <vertical/>
        <horizontal/>
      </border>
    </dxf>
    <dxf>
      <font>
        <color theme="0"/>
      </font>
      <fill>
        <patternFill>
          <bgColor rgb="FF92D050"/>
        </patternFill>
      </fill>
      <border>
        <vertical/>
        <horizontal/>
      </border>
    </dxf>
    <dxf>
      <fill>
        <patternFill>
          <bgColor rgb="FFFF0000"/>
        </patternFill>
      </fill>
      <border>
        <vertical/>
        <horizontal/>
      </border>
    </dxf>
    <dxf>
      <font>
        <color theme="0"/>
      </font>
      <fill>
        <patternFill>
          <bgColor rgb="FFFF0000"/>
        </patternFill>
      </fill>
      <border>
        <vertical/>
        <horizontal/>
      </border>
    </dxf>
    <dxf>
      <fill>
        <patternFill>
          <bgColor rgb="FFFF0000"/>
        </patternFill>
      </fill>
    </dxf>
    <dxf>
      <fill>
        <patternFill>
          <bgColor rgb="FFFF0000"/>
        </patternFill>
      </fill>
    </dxf>
    <dxf>
      <font>
        <color theme="0"/>
      </font>
      <fill>
        <patternFill>
          <bgColor rgb="FFFF0000"/>
        </patternFill>
      </fill>
    </dxf>
    <dxf>
      <font>
        <color rgb="FFFF0000"/>
      </font>
      <fill>
        <patternFill>
          <bgColor rgb="FFFF0000"/>
        </patternFill>
      </fill>
    </dxf>
    <dxf>
      <font>
        <color rgb="FFFFFF00"/>
      </font>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auto="1"/>
      </font>
      <fill>
        <patternFill>
          <bgColor rgb="FFFF0000"/>
        </patternFill>
      </fill>
    </dxf>
    <dxf>
      <font>
        <color auto="1"/>
      </font>
      <fill>
        <patternFill>
          <bgColor rgb="FFFFFF00"/>
        </patternFill>
      </fill>
    </dxf>
    <dxf>
      <font>
        <b/>
        <i val="0"/>
        <color auto="1"/>
      </font>
      <fill>
        <patternFill>
          <bgColor rgb="FFFF0000"/>
        </patternFill>
      </fill>
      <border>
        <vertical/>
        <horizontal/>
      </border>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i val="0"/>
      </font>
      <fill>
        <patternFill>
          <bgColor rgb="FFFFFF00"/>
        </patternFill>
      </fill>
    </dxf>
    <dxf>
      <font>
        <b/>
        <i val="0"/>
      </font>
      <fill>
        <patternFill>
          <bgColor rgb="FF00DE00"/>
        </patternFill>
      </fill>
    </dxf>
    <dxf>
      <font>
        <b/>
        <i val="0"/>
      </font>
      <fill>
        <patternFill>
          <bgColor rgb="FFFF0000"/>
        </patternFill>
      </fill>
    </dxf>
  </dxfs>
  <tableStyles count="0" defaultTableStyle="TableStyleMedium2" defaultPivotStyle="PivotStyleLight16"/>
  <colors>
    <mruColors>
      <color rgb="FFF2F6C0"/>
      <color rgb="FFF4FABC"/>
      <color rgb="FFBB4033"/>
      <color rgb="FFBF452D"/>
      <color rgb="FFD1543B"/>
      <color rgb="FFFFE5E7"/>
      <color rgb="FFF7AFDC"/>
      <color rgb="FFE94D92"/>
      <color rgb="FF3F1F20"/>
      <color rgb="FFC5D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56"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customXml" Target="../customXml/item2.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828675</xdr:colOff>
          <xdr:row>0</xdr:row>
          <xdr:rowOff>114300</xdr:rowOff>
        </xdr:from>
        <xdr:to>
          <xdr:col>9</xdr:col>
          <xdr:colOff>3286125</xdr:colOff>
          <xdr:row>1</xdr:row>
          <xdr:rowOff>114300</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s-CO" sz="1100" b="0" i="0" u="none" strike="noStrike" baseline="0">
                  <a:solidFill>
                    <a:srgbClr val="000000"/>
                  </a:solidFill>
                  <a:latin typeface="Calibri"/>
                  <a:cs typeface="Calibri"/>
                </a:rPr>
                <a:t>Clear Form</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828675</xdr:colOff>
          <xdr:row>2</xdr:row>
          <xdr:rowOff>0</xdr:rowOff>
        </xdr:from>
        <xdr:to>
          <xdr:col>9</xdr:col>
          <xdr:colOff>3286125</xdr:colOff>
          <xdr:row>4</xdr:row>
          <xdr:rowOff>0</xdr:rowOff>
        </xdr:to>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s-CO" sz="1100" b="0" i="0" u="none" strike="noStrike" baseline="0">
                  <a:solidFill>
                    <a:srgbClr val="000000"/>
                  </a:solidFill>
                  <a:latin typeface="Calibri"/>
                  <a:cs typeface="Calibri"/>
                </a:rPr>
                <a:t>Add Info to Summary Sheet</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04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twoCellAnchor>
    <xdr:from>
      <xdr:col>6</xdr:col>
      <xdr:colOff>408215</xdr:colOff>
      <xdr:row>11</xdr:row>
      <xdr:rowOff>272142</xdr:rowOff>
    </xdr:from>
    <xdr:to>
      <xdr:col>7</xdr:col>
      <xdr:colOff>38878</xdr:colOff>
      <xdr:row>11</xdr:row>
      <xdr:rowOff>855305</xdr:rowOff>
    </xdr:to>
    <xdr:sp macro="" textlink="">
      <xdr:nvSpPr>
        <xdr:cNvPr id="3" name="CuadroTexto 2">
          <a:extLst>
            <a:ext uri="{FF2B5EF4-FFF2-40B4-BE49-F238E27FC236}">
              <a16:creationId xmlns:a16="http://schemas.microsoft.com/office/drawing/2014/main" id="{00000000-0008-0000-0400-000003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28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06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26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08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16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0A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0C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0E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14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10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12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18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1A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1C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1E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20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22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24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6</xdr:col>
      <xdr:colOff>408215</xdr:colOff>
      <xdr:row>11</xdr:row>
      <xdr:rowOff>272142</xdr:rowOff>
    </xdr:from>
    <xdr:to>
      <xdr:col>7</xdr:col>
      <xdr:colOff>38878</xdr:colOff>
      <xdr:row>11</xdr:row>
      <xdr:rowOff>855305</xdr:rowOff>
    </xdr:to>
    <xdr:sp macro="" textlink="">
      <xdr:nvSpPr>
        <xdr:cNvPr id="2" name="CuadroTexto 1">
          <a:extLst>
            <a:ext uri="{FF2B5EF4-FFF2-40B4-BE49-F238E27FC236}">
              <a16:creationId xmlns:a16="http://schemas.microsoft.com/office/drawing/2014/main" id="{00000000-0008-0000-2A00-000002000000}"/>
            </a:ext>
          </a:extLst>
        </xdr:cNvPr>
        <xdr:cNvSpPr txBox="1"/>
      </xdr:nvSpPr>
      <xdr:spPr>
        <a:xfrm>
          <a:off x="14286140" y="7777842"/>
          <a:ext cx="1135613" cy="583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2000" b="1">
              <a:solidFill>
                <a:schemeClr val="bg1"/>
              </a:solidFill>
            </a:rPr>
            <a:t>Total</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0</xdr:colOff>
      <xdr:row>2</xdr:row>
      <xdr:rowOff>56142</xdr:rowOff>
    </xdr:to>
    <xdr:pic>
      <xdr:nvPicPr>
        <xdr:cNvPr id="2" name="Picture 3" descr="xl/media/image1.png">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cstate="print"/>
        <a:srcRect/>
        <a:stretch>
          <a:fillRect/>
        </a:stretch>
      </xdr:blipFill>
      <xdr:spPr>
        <a:xfrm>
          <a:off x="5600700" y="0"/>
          <a:ext cx="0" cy="475242"/>
        </a:xfrm>
        <a:prstGeom prst="rect">
          <a:avLst/>
        </a:prstGeom>
        <a:noFill/>
        <a:ln w="3175" cap="flat" cmpd="sng">
          <a:noFill/>
          <a:prstDash/>
          <a:miter lim="800000"/>
        </a:ln>
      </xdr:spPr>
    </xdr:pic>
    <xdr:clientData/>
  </xdr:twoCellAnchor>
  <xdr:twoCellAnchor>
    <xdr:from>
      <xdr:col>3</xdr:col>
      <xdr:colOff>0</xdr:colOff>
      <xdr:row>0</xdr:row>
      <xdr:rowOff>0</xdr:rowOff>
    </xdr:from>
    <xdr:to>
      <xdr:col>3</xdr:col>
      <xdr:colOff>0</xdr:colOff>
      <xdr:row>2</xdr:row>
      <xdr:rowOff>38100</xdr:rowOff>
    </xdr:to>
    <xdr:pic>
      <xdr:nvPicPr>
        <xdr:cNvPr id="3" name="image1.png" descr="xl/media/image1.png">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cstate="print"/>
        <a:srcRect/>
        <a:stretch>
          <a:fillRect/>
        </a:stretch>
      </xdr:blipFill>
      <xdr:spPr>
        <a:xfrm>
          <a:off x="5600700" y="0"/>
          <a:ext cx="0" cy="400050"/>
        </a:xfrm>
        <a:prstGeom prst="rect">
          <a:avLst/>
        </a:prstGeom>
        <a:noFill/>
        <a:ln w="3175" cap="flat" cmpd="sng">
          <a:noFill/>
          <a:prstDash/>
          <a:miter lim="800000"/>
        </a:ln>
      </xdr:spPr>
    </xdr:pic>
    <xdr:clientData/>
  </xdr:twoCellAnchor>
  <xdr:twoCellAnchor>
    <xdr:from>
      <xdr:col>3</xdr:col>
      <xdr:colOff>0</xdr:colOff>
      <xdr:row>0</xdr:row>
      <xdr:rowOff>0</xdr:rowOff>
    </xdr:from>
    <xdr:to>
      <xdr:col>3</xdr:col>
      <xdr:colOff>0</xdr:colOff>
      <xdr:row>2</xdr:row>
      <xdr:rowOff>152400</xdr:rowOff>
    </xdr:to>
    <xdr:pic>
      <xdr:nvPicPr>
        <xdr:cNvPr id="4" name="image1.png" descr="xl/media/image1.png">
          <a:extLst>
            <a:ext uri="{FF2B5EF4-FFF2-40B4-BE49-F238E27FC236}">
              <a16:creationId xmlns:a16="http://schemas.microsoft.com/office/drawing/2014/main" id="{00000000-0008-0000-2C00-000004000000}"/>
            </a:ext>
          </a:extLst>
        </xdr:cNvPr>
        <xdr:cNvPicPr>
          <a:picLocks noChangeAspect="1"/>
        </xdr:cNvPicPr>
      </xdr:nvPicPr>
      <xdr:blipFill>
        <a:blip xmlns:r="http://schemas.openxmlformats.org/officeDocument/2006/relationships" r:embed="rId1" cstate="print"/>
        <a:srcRect/>
        <a:stretch>
          <a:fillRect/>
        </a:stretch>
      </xdr:blipFill>
      <xdr:spPr>
        <a:xfrm>
          <a:off x="5600700" y="0"/>
          <a:ext cx="0" cy="514350"/>
        </a:xfrm>
        <a:prstGeom prst="rect">
          <a:avLst/>
        </a:prstGeom>
        <a:noFill/>
        <a:ln w="3175" cap="flat" cmpd="sng">
          <a:noFill/>
          <a:prstDash/>
          <a:miter lim="800000"/>
        </a:ln>
      </xdr:spPr>
    </xdr:pic>
    <xdr:clientData/>
  </xdr:twoCellAnchor>
  <xdr:twoCellAnchor>
    <xdr:from>
      <xdr:col>3</xdr:col>
      <xdr:colOff>0</xdr:colOff>
      <xdr:row>0</xdr:row>
      <xdr:rowOff>0</xdr:rowOff>
    </xdr:from>
    <xdr:to>
      <xdr:col>3</xdr:col>
      <xdr:colOff>0</xdr:colOff>
      <xdr:row>2</xdr:row>
      <xdr:rowOff>38100</xdr:rowOff>
    </xdr:to>
    <xdr:pic>
      <xdr:nvPicPr>
        <xdr:cNvPr id="5" name="image2.png" descr="xl/media/image1.png">
          <a:extLst>
            <a:ext uri="{FF2B5EF4-FFF2-40B4-BE49-F238E27FC236}">
              <a16:creationId xmlns:a16="http://schemas.microsoft.com/office/drawing/2014/main" id="{00000000-0008-0000-2C00-000005000000}"/>
            </a:ext>
          </a:extLst>
        </xdr:cNvPr>
        <xdr:cNvPicPr>
          <a:picLocks noChangeAspect="1"/>
        </xdr:cNvPicPr>
      </xdr:nvPicPr>
      <xdr:blipFill>
        <a:blip xmlns:r="http://schemas.openxmlformats.org/officeDocument/2006/relationships" r:embed="rId1" cstate="print"/>
        <a:srcRect/>
        <a:stretch>
          <a:fillRect/>
        </a:stretch>
      </xdr:blipFill>
      <xdr:spPr>
        <a:xfrm>
          <a:off x="5600700" y="0"/>
          <a:ext cx="0" cy="400050"/>
        </a:xfrm>
        <a:prstGeom prst="rect">
          <a:avLst/>
        </a:prstGeom>
        <a:noFill/>
        <a:ln w="3175" cap="flat" cmpd="sng">
          <a:noFill/>
          <a:prstDash/>
          <a:miter lim="800000"/>
        </a:ln>
      </xdr:spPr>
    </xdr:pic>
    <xdr:clientData/>
  </xdr:twoCellAnchor>
  <xdr:twoCellAnchor>
    <xdr:from>
      <xdr:col>3</xdr:col>
      <xdr:colOff>0</xdr:colOff>
      <xdr:row>0</xdr:row>
      <xdr:rowOff>0</xdr:rowOff>
    </xdr:from>
    <xdr:to>
      <xdr:col>3</xdr:col>
      <xdr:colOff>0</xdr:colOff>
      <xdr:row>2</xdr:row>
      <xdr:rowOff>152400</xdr:rowOff>
    </xdr:to>
    <xdr:pic>
      <xdr:nvPicPr>
        <xdr:cNvPr id="6" name="image1.png" descr="xl/media/image1.png">
          <a:extLst>
            <a:ext uri="{FF2B5EF4-FFF2-40B4-BE49-F238E27FC236}">
              <a16:creationId xmlns:a16="http://schemas.microsoft.com/office/drawing/2014/main" id="{00000000-0008-0000-2C00-000006000000}"/>
            </a:ext>
          </a:extLst>
        </xdr:cNvPr>
        <xdr:cNvPicPr>
          <a:picLocks noChangeAspect="1"/>
        </xdr:cNvPicPr>
      </xdr:nvPicPr>
      <xdr:blipFill>
        <a:blip xmlns:r="http://schemas.openxmlformats.org/officeDocument/2006/relationships" r:embed="rId1" cstate="print"/>
        <a:srcRect/>
        <a:stretch>
          <a:fillRect/>
        </a:stretch>
      </xdr:blipFill>
      <xdr:spPr>
        <a:xfrm>
          <a:off x="5600700" y="0"/>
          <a:ext cx="0" cy="514350"/>
        </a:xfrm>
        <a:prstGeom prst="rect">
          <a:avLst/>
        </a:prstGeom>
        <a:noFill/>
        <a:ln w="3175" cap="flat" cmpd="sng">
          <a:noFill/>
          <a:prstDash/>
          <a:miter lim="800000"/>
        </a:ln>
      </xdr:spPr>
    </xdr:pic>
    <xdr:clientData/>
  </xdr:twoCellAnchor>
  <xdr:twoCellAnchor>
    <xdr:from>
      <xdr:col>3</xdr:col>
      <xdr:colOff>0</xdr:colOff>
      <xdr:row>0</xdr:row>
      <xdr:rowOff>0</xdr:rowOff>
    </xdr:from>
    <xdr:to>
      <xdr:col>3</xdr:col>
      <xdr:colOff>0</xdr:colOff>
      <xdr:row>2</xdr:row>
      <xdr:rowOff>38100</xdr:rowOff>
    </xdr:to>
    <xdr:pic>
      <xdr:nvPicPr>
        <xdr:cNvPr id="7" name="image2.png" descr="xl/media/image1.png">
          <a:extLst>
            <a:ext uri="{FF2B5EF4-FFF2-40B4-BE49-F238E27FC236}">
              <a16:creationId xmlns:a16="http://schemas.microsoft.com/office/drawing/2014/main" id="{00000000-0008-0000-2C00-000007000000}"/>
            </a:ext>
          </a:extLst>
        </xdr:cNvPr>
        <xdr:cNvPicPr>
          <a:picLocks noChangeAspect="1"/>
        </xdr:cNvPicPr>
      </xdr:nvPicPr>
      <xdr:blipFill>
        <a:blip xmlns:r="http://schemas.openxmlformats.org/officeDocument/2006/relationships" r:embed="rId1" cstate="print"/>
        <a:srcRect/>
        <a:stretch>
          <a:fillRect/>
        </a:stretch>
      </xdr:blipFill>
      <xdr:spPr>
        <a:xfrm>
          <a:off x="5600700" y="0"/>
          <a:ext cx="0" cy="400050"/>
        </a:xfrm>
        <a:prstGeom prst="rect">
          <a:avLst/>
        </a:prstGeom>
        <a:noFill/>
        <a:ln w="3175" cap="flat" cmpd="sng">
          <a:noFill/>
          <a:prstDash/>
          <a:miter lim="800000"/>
        </a:ln>
      </xdr:spPr>
    </xdr:pic>
    <xdr:clientData/>
  </xdr:twoCellAnchor>
  <xdr:twoCellAnchor>
    <xdr:from>
      <xdr:col>3</xdr:col>
      <xdr:colOff>0</xdr:colOff>
      <xdr:row>0</xdr:row>
      <xdr:rowOff>0</xdr:rowOff>
    </xdr:from>
    <xdr:to>
      <xdr:col>3</xdr:col>
      <xdr:colOff>0</xdr:colOff>
      <xdr:row>2</xdr:row>
      <xdr:rowOff>152400</xdr:rowOff>
    </xdr:to>
    <xdr:pic>
      <xdr:nvPicPr>
        <xdr:cNvPr id="8" name="image1.png" descr="xl/media/image1.png">
          <a:extLst>
            <a:ext uri="{FF2B5EF4-FFF2-40B4-BE49-F238E27FC236}">
              <a16:creationId xmlns:a16="http://schemas.microsoft.com/office/drawing/2014/main" id="{00000000-0008-0000-2C00-000008000000}"/>
            </a:ext>
          </a:extLst>
        </xdr:cNvPr>
        <xdr:cNvPicPr>
          <a:picLocks noChangeAspect="1"/>
        </xdr:cNvPicPr>
      </xdr:nvPicPr>
      <xdr:blipFill>
        <a:blip xmlns:r="http://schemas.openxmlformats.org/officeDocument/2006/relationships" r:embed="rId1" cstate="print"/>
        <a:srcRect/>
        <a:stretch>
          <a:fillRect/>
        </a:stretch>
      </xdr:blipFill>
      <xdr:spPr>
        <a:xfrm>
          <a:off x="5600700" y="0"/>
          <a:ext cx="0" cy="514350"/>
        </a:xfrm>
        <a:prstGeom prst="rect">
          <a:avLst/>
        </a:prstGeom>
        <a:noFill/>
        <a:ln w="3175" cap="flat" cmpd="sng">
          <a:noFill/>
          <a:prstDash/>
          <a:miter lim="800000"/>
        </a:ln>
      </xdr:spPr>
    </xdr:pic>
    <xdr:clientData/>
  </xdr:twoCellAnchor>
  <xdr:twoCellAnchor>
    <xdr:from>
      <xdr:col>3</xdr:col>
      <xdr:colOff>0</xdr:colOff>
      <xdr:row>0</xdr:row>
      <xdr:rowOff>0</xdr:rowOff>
    </xdr:from>
    <xdr:to>
      <xdr:col>3</xdr:col>
      <xdr:colOff>0</xdr:colOff>
      <xdr:row>2</xdr:row>
      <xdr:rowOff>38100</xdr:rowOff>
    </xdr:to>
    <xdr:pic>
      <xdr:nvPicPr>
        <xdr:cNvPr id="9" name="image2.png" descr="xl/media/image1.png">
          <a:extLst>
            <a:ext uri="{FF2B5EF4-FFF2-40B4-BE49-F238E27FC236}">
              <a16:creationId xmlns:a16="http://schemas.microsoft.com/office/drawing/2014/main" id="{00000000-0008-0000-2C00-000009000000}"/>
            </a:ext>
          </a:extLst>
        </xdr:cNvPr>
        <xdr:cNvPicPr>
          <a:picLocks noChangeAspect="1"/>
        </xdr:cNvPicPr>
      </xdr:nvPicPr>
      <xdr:blipFill>
        <a:blip xmlns:r="http://schemas.openxmlformats.org/officeDocument/2006/relationships" r:embed="rId1" cstate="print"/>
        <a:srcRect/>
        <a:stretch>
          <a:fillRect/>
        </a:stretch>
      </xdr:blipFill>
      <xdr:spPr>
        <a:xfrm>
          <a:off x="5600700" y="0"/>
          <a:ext cx="0" cy="400050"/>
        </a:xfrm>
        <a:prstGeom prst="rect">
          <a:avLst/>
        </a:prstGeom>
        <a:noFill/>
        <a:ln w="3175" cap="flat" cmpd="sng">
          <a:noFill/>
          <a:prstDash/>
          <a:miter lim="800000"/>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One%20Inspire"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Operations%20Review"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 Inspir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tions Review"/>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4.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209"/>
  <sheetViews>
    <sheetView zoomScaleNormal="100" zoomScalePageLayoutView="70" workbookViewId="0">
      <selection activeCell="B90" sqref="B90:I90"/>
    </sheetView>
  </sheetViews>
  <sheetFormatPr baseColWidth="10" defaultColWidth="0" defaultRowHeight="15" zeroHeight="1"/>
  <cols>
    <col min="1" max="1" width="10.42578125" bestFit="1" customWidth="1"/>
    <col min="2" max="2" width="11" customWidth="1"/>
    <col min="3" max="3" width="18.5703125" customWidth="1"/>
    <col min="4" max="4" width="17.140625" customWidth="1"/>
    <col min="5" max="5" width="25.140625" customWidth="1"/>
    <col min="6" max="6" width="10" customWidth="1"/>
    <col min="7" max="7" width="10.5703125" customWidth="1"/>
    <col min="8" max="8" width="13.42578125" customWidth="1"/>
    <col min="9" max="9" width="9.140625" style="25" bestFit="1" customWidth="1"/>
    <col min="10" max="10" width="50.85546875" style="27" customWidth="1"/>
    <col min="11" max="11" width="0.85546875" style="1" customWidth="1"/>
    <col min="12" max="16384" width="9.140625" hidden="1"/>
  </cols>
  <sheetData>
    <row r="1" spans="1:10" ht="16.5" customHeight="1">
      <c r="A1" s="9" t="s">
        <v>0</v>
      </c>
      <c r="B1" s="11"/>
      <c r="C1" s="6"/>
      <c r="D1" s="1"/>
      <c r="E1" s="1"/>
      <c r="F1" s="1"/>
      <c r="G1" s="1"/>
      <c r="H1" s="1"/>
      <c r="I1" s="1"/>
    </row>
    <row r="2" spans="1:10" ht="16.5" customHeight="1">
      <c r="A2" s="9" t="s">
        <v>10</v>
      </c>
      <c r="B2" s="11"/>
      <c r="C2" s="6"/>
      <c r="D2" s="1"/>
      <c r="E2" s="1"/>
      <c r="F2" s="1"/>
      <c r="G2" s="1"/>
      <c r="H2" s="1"/>
      <c r="I2" s="1"/>
    </row>
    <row r="3" spans="1:10" ht="16.5" customHeight="1">
      <c r="A3" s="9" t="s">
        <v>160</v>
      </c>
      <c r="B3" s="11"/>
      <c r="C3" s="6"/>
      <c r="D3" s="1"/>
      <c r="E3" s="1"/>
      <c r="F3" s="1"/>
      <c r="G3" s="1"/>
      <c r="H3" s="1"/>
      <c r="I3" s="1"/>
    </row>
    <row r="4" spans="1:10" ht="15.75">
      <c r="A4" s="9" t="s">
        <v>161</v>
      </c>
      <c r="B4" s="11"/>
      <c r="C4" s="38"/>
      <c r="D4" s="1"/>
      <c r="E4" s="1"/>
      <c r="F4" s="1"/>
      <c r="G4" s="1"/>
      <c r="H4" s="1"/>
      <c r="I4" s="1"/>
    </row>
    <row r="5" spans="1:10" ht="16.5" customHeight="1" thickBot="1">
      <c r="A5" s="10" t="s">
        <v>131</v>
      </c>
      <c r="B5" s="12"/>
      <c r="C5" s="39"/>
      <c r="D5" s="1"/>
      <c r="E5" s="1"/>
      <c r="F5" s="1"/>
      <c r="G5" s="1"/>
      <c r="H5" s="1"/>
      <c r="I5" s="1"/>
    </row>
    <row r="6" spans="1:10" ht="17.25" customHeight="1">
      <c r="A6" s="1"/>
      <c r="B6" s="1"/>
      <c r="C6" s="1"/>
      <c r="D6" s="1"/>
      <c r="E6" s="1"/>
      <c r="F6" s="1"/>
      <c r="G6" s="1"/>
      <c r="H6" s="1"/>
      <c r="I6" s="1"/>
    </row>
    <row r="7" spans="1:10" ht="12" customHeight="1" thickBot="1">
      <c r="A7" s="1"/>
      <c r="B7" s="1"/>
      <c r="C7" s="1"/>
      <c r="D7" s="1"/>
      <c r="E7" s="1"/>
      <c r="F7" s="1"/>
      <c r="G7" s="1"/>
      <c r="H7" s="1"/>
      <c r="I7" s="23"/>
    </row>
    <row r="8" spans="1:10" ht="17.25" thickTop="1" thickBot="1">
      <c r="A8" s="414" t="s">
        <v>8</v>
      </c>
      <c r="B8" s="415"/>
      <c r="C8" s="95">
        <f>D123</f>
        <v>8</v>
      </c>
      <c r="D8" s="4" t="s">
        <v>6</v>
      </c>
      <c r="E8" s="5">
        <f>E123:F123</f>
        <v>0</v>
      </c>
      <c r="F8" s="414" t="s">
        <v>7</v>
      </c>
      <c r="G8" s="415"/>
      <c r="H8" s="357">
        <f>G123</f>
        <v>0</v>
      </c>
      <c r="I8" s="357"/>
      <c r="J8" s="37" t="s">
        <v>9</v>
      </c>
    </row>
    <row r="9" spans="1:10" ht="9.75" customHeight="1" thickBot="1">
      <c r="A9" s="1"/>
      <c r="B9" s="1"/>
      <c r="C9" s="1"/>
      <c r="D9" s="1"/>
      <c r="E9" s="1"/>
      <c r="F9" s="1"/>
      <c r="G9" s="1"/>
      <c r="H9" s="1"/>
      <c r="I9" s="23"/>
    </row>
    <row r="10" spans="1:10" ht="31.5" customHeight="1">
      <c r="A10" s="337" t="s">
        <v>11</v>
      </c>
      <c r="B10" s="15" t="s">
        <v>68</v>
      </c>
      <c r="C10" s="332" t="s">
        <v>38</v>
      </c>
      <c r="D10" s="332"/>
      <c r="E10" s="332"/>
      <c r="F10" s="332"/>
      <c r="G10" s="332"/>
      <c r="H10" s="19" t="s">
        <v>174</v>
      </c>
      <c r="I10" s="98" t="str">
        <f>IF(H10="Yes",20,IF(H10="No",0,IF(H10="Cured in the moment",20,"")))</f>
        <v/>
      </c>
      <c r="J10" s="26"/>
    </row>
    <row r="11" spans="1:10" ht="31.5" customHeight="1">
      <c r="A11" s="338"/>
      <c r="B11" s="16" t="s">
        <v>69</v>
      </c>
      <c r="C11" s="319" t="s">
        <v>39</v>
      </c>
      <c r="D11" s="319"/>
      <c r="E11" s="319"/>
      <c r="F11" s="319"/>
      <c r="G11" s="319"/>
      <c r="H11" s="20" t="s">
        <v>174</v>
      </c>
      <c r="I11" s="96" t="str">
        <f t="shared" ref="I11:I18" si="0">IF(H11="Yes",20,IF(H11="No",0,IF(H11="Cured in the moment",20,"")))</f>
        <v/>
      </c>
      <c r="J11" s="28"/>
    </row>
    <row r="12" spans="1:10" ht="31.5" customHeight="1">
      <c r="A12" s="338"/>
      <c r="B12" s="17" t="s">
        <v>70</v>
      </c>
      <c r="C12" s="333" t="s">
        <v>40</v>
      </c>
      <c r="D12" s="333"/>
      <c r="E12" s="333"/>
      <c r="F12" s="333"/>
      <c r="G12" s="333"/>
      <c r="H12" s="21" t="s">
        <v>174</v>
      </c>
      <c r="I12" s="97" t="str">
        <f t="shared" si="0"/>
        <v/>
      </c>
      <c r="J12" s="29"/>
    </row>
    <row r="13" spans="1:10" ht="31.5" customHeight="1">
      <c r="A13" s="338"/>
      <c r="B13" s="16" t="s">
        <v>71</v>
      </c>
      <c r="C13" s="319" t="s">
        <v>41</v>
      </c>
      <c r="D13" s="319"/>
      <c r="E13" s="319"/>
      <c r="F13" s="319"/>
      <c r="G13" s="319"/>
      <c r="H13" s="20" t="s">
        <v>174</v>
      </c>
      <c r="I13" s="96" t="str">
        <f t="shared" si="0"/>
        <v/>
      </c>
      <c r="J13" s="28"/>
    </row>
    <row r="14" spans="1:10" ht="31.5" customHeight="1">
      <c r="A14" s="338"/>
      <c r="B14" s="17" t="s">
        <v>72</v>
      </c>
      <c r="C14" s="333" t="s">
        <v>42</v>
      </c>
      <c r="D14" s="333"/>
      <c r="E14" s="333"/>
      <c r="F14" s="333"/>
      <c r="G14" s="333"/>
      <c r="H14" s="21" t="s">
        <v>174</v>
      </c>
      <c r="I14" s="97" t="str">
        <f t="shared" si="0"/>
        <v/>
      </c>
      <c r="J14" s="29"/>
    </row>
    <row r="15" spans="1:10" ht="31.5" customHeight="1">
      <c r="A15" s="338"/>
      <c r="B15" s="16" t="s">
        <v>73</v>
      </c>
      <c r="C15" s="319" t="s">
        <v>43</v>
      </c>
      <c r="D15" s="319"/>
      <c r="E15" s="319"/>
      <c r="F15" s="319"/>
      <c r="G15" s="319"/>
      <c r="H15" s="20" t="s">
        <v>174</v>
      </c>
      <c r="I15" s="96" t="str">
        <f t="shared" si="0"/>
        <v/>
      </c>
      <c r="J15" s="28"/>
    </row>
    <row r="16" spans="1:10" ht="29.45" customHeight="1">
      <c r="A16" s="338"/>
      <c r="B16" s="17" t="s">
        <v>74</v>
      </c>
      <c r="C16" s="333" t="s">
        <v>143</v>
      </c>
      <c r="D16" s="333"/>
      <c r="E16" s="333"/>
      <c r="F16" s="333"/>
      <c r="G16" s="333"/>
      <c r="H16" s="21" t="s">
        <v>174</v>
      </c>
      <c r="I16" s="97" t="str">
        <f t="shared" si="0"/>
        <v/>
      </c>
      <c r="J16" s="29"/>
    </row>
    <row r="17" spans="1:11" ht="36" customHeight="1">
      <c r="A17" s="338"/>
      <c r="B17" s="16" t="s">
        <v>75</v>
      </c>
      <c r="C17" s="319" t="s">
        <v>192</v>
      </c>
      <c r="D17" s="319"/>
      <c r="E17" s="319"/>
      <c r="F17" s="319"/>
      <c r="G17" s="319"/>
      <c r="H17" s="20" t="s">
        <v>174</v>
      </c>
      <c r="I17" s="96" t="str">
        <f t="shared" si="0"/>
        <v/>
      </c>
      <c r="J17" s="28"/>
    </row>
    <row r="18" spans="1:11" ht="31.5" customHeight="1" thickBot="1">
      <c r="A18" s="339"/>
      <c r="B18" s="18" t="s">
        <v>76</v>
      </c>
      <c r="C18" s="369" t="s">
        <v>144</v>
      </c>
      <c r="D18" s="369"/>
      <c r="E18" s="369"/>
      <c r="F18" s="369"/>
      <c r="G18" s="369"/>
      <c r="H18" s="22" t="s">
        <v>174</v>
      </c>
      <c r="I18" s="103" t="str">
        <f t="shared" si="0"/>
        <v/>
      </c>
      <c r="J18" s="30"/>
    </row>
    <row r="19" spans="1:11" ht="11.25" customHeight="1" thickBot="1">
      <c r="A19" s="1"/>
      <c r="B19" s="1"/>
      <c r="C19" s="1"/>
      <c r="D19" s="1"/>
      <c r="E19" s="1"/>
      <c r="F19" s="1"/>
      <c r="G19" s="1"/>
      <c r="H19" s="1"/>
      <c r="I19" s="24"/>
    </row>
    <row r="20" spans="1:11" s="14" customFormat="1" ht="60" customHeight="1">
      <c r="A20" s="334" t="s">
        <v>12</v>
      </c>
      <c r="B20" s="15" t="s">
        <v>77</v>
      </c>
      <c r="C20" s="370" t="s">
        <v>47</v>
      </c>
      <c r="D20" s="371"/>
      <c r="E20" s="371"/>
      <c r="F20" s="371"/>
      <c r="G20" s="372"/>
      <c r="H20" s="19" t="s">
        <v>174</v>
      </c>
      <c r="I20" s="7" t="str">
        <f t="shared" ref="I20:I79" si="1">IF(H20="Yes",2,IF(H20="No",0,IF(H20="N/A",2,"")))</f>
        <v/>
      </c>
      <c r="J20" s="26"/>
    </row>
    <row r="21" spans="1:11" s="14" customFormat="1" ht="31.5" customHeight="1">
      <c r="A21" s="335"/>
      <c r="B21" s="16" t="s">
        <v>78</v>
      </c>
      <c r="C21" s="360" t="s">
        <v>44</v>
      </c>
      <c r="D21" s="361"/>
      <c r="E21" s="361"/>
      <c r="F21" s="361"/>
      <c r="G21" s="362"/>
      <c r="H21" s="67" t="s">
        <v>193</v>
      </c>
      <c r="I21" s="2">
        <f t="shared" si="1"/>
        <v>0</v>
      </c>
      <c r="J21" s="28"/>
    </row>
    <row r="22" spans="1:11" s="14" customFormat="1" ht="43.5" customHeight="1">
      <c r="A22" s="335"/>
      <c r="B22" s="17" t="s">
        <v>79</v>
      </c>
      <c r="C22" s="363" t="s">
        <v>140</v>
      </c>
      <c r="D22" s="364"/>
      <c r="E22" s="364"/>
      <c r="F22" s="364"/>
      <c r="G22" s="365"/>
      <c r="H22" s="21" t="s">
        <v>174</v>
      </c>
      <c r="I22" s="3" t="str">
        <f t="shared" si="1"/>
        <v/>
      </c>
      <c r="J22" s="29"/>
    </row>
    <row r="23" spans="1:11" s="14" customFormat="1" ht="31.5" customHeight="1">
      <c r="A23" s="335"/>
      <c r="B23" s="16" t="s">
        <v>80</v>
      </c>
      <c r="C23" s="360" t="s">
        <v>179</v>
      </c>
      <c r="D23" s="361"/>
      <c r="E23" s="361"/>
      <c r="F23" s="361"/>
      <c r="G23" s="362"/>
      <c r="H23" s="67" t="s">
        <v>193</v>
      </c>
      <c r="I23" s="2">
        <f t="shared" si="1"/>
        <v>0</v>
      </c>
      <c r="J23" s="28"/>
    </row>
    <row r="24" spans="1:11" s="14" customFormat="1" ht="34.5" customHeight="1" thickBot="1">
      <c r="A24" s="336"/>
      <c r="B24" s="18" t="s">
        <v>172</v>
      </c>
      <c r="C24" s="366" t="s">
        <v>182</v>
      </c>
      <c r="D24" s="367"/>
      <c r="E24" s="367"/>
      <c r="F24" s="367"/>
      <c r="G24" s="368"/>
      <c r="H24" s="22" t="s">
        <v>174</v>
      </c>
      <c r="I24" s="2" t="str">
        <f t="shared" si="1"/>
        <v/>
      </c>
      <c r="J24" s="30"/>
    </row>
    <row r="25" spans="1:11" ht="11.25" customHeight="1" thickBot="1">
      <c r="A25" s="52"/>
      <c r="B25" s="52"/>
      <c r="C25" s="52"/>
      <c r="D25" s="52"/>
      <c r="E25" s="52"/>
      <c r="F25" s="52"/>
      <c r="G25" s="52"/>
      <c r="H25" s="52"/>
      <c r="I25" s="52"/>
      <c r="J25" s="55"/>
    </row>
    <row r="26" spans="1:11" ht="42.75" customHeight="1">
      <c r="A26" s="376" t="s">
        <v>30</v>
      </c>
      <c r="B26" s="15" t="s">
        <v>87</v>
      </c>
      <c r="C26" s="332" t="s">
        <v>141</v>
      </c>
      <c r="D26" s="332"/>
      <c r="E26" s="332"/>
      <c r="F26" s="332"/>
      <c r="G26" s="332"/>
      <c r="H26" s="19" t="s">
        <v>174</v>
      </c>
      <c r="I26" s="7" t="str">
        <f>IF(H26="Yes",2,IF(H26="No",0,IF(H26="N/A",2,"")))</f>
        <v/>
      </c>
      <c r="J26" s="32"/>
    </row>
    <row r="27" spans="1:11" ht="34.5" customHeight="1">
      <c r="A27" s="358"/>
      <c r="B27" s="16" t="s">
        <v>88</v>
      </c>
      <c r="C27" s="418" t="s">
        <v>183</v>
      </c>
      <c r="D27" s="419"/>
      <c r="E27" s="419"/>
      <c r="F27" s="419"/>
      <c r="G27" s="420"/>
      <c r="H27" s="67" t="s">
        <v>174</v>
      </c>
      <c r="I27" s="2" t="str">
        <f>IF(H27="Yes",2,IF(H27="No",0,IF(H27="N/A",2,"")))</f>
        <v/>
      </c>
      <c r="J27" s="33"/>
    </row>
    <row r="28" spans="1:11" ht="66.75" customHeight="1" thickBot="1">
      <c r="A28" s="358"/>
      <c r="B28" s="40" t="s">
        <v>89</v>
      </c>
      <c r="C28" s="412" t="s">
        <v>145</v>
      </c>
      <c r="D28" s="412"/>
      <c r="E28" s="412"/>
      <c r="F28" s="412"/>
      <c r="G28" s="412"/>
      <c r="H28" s="79" t="s">
        <v>174</v>
      </c>
      <c r="I28" s="80" t="str">
        <f>IF(H28="Yes",2,IF(H28="No",0,IF(H28="N/A",2,"")))</f>
        <v/>
      </c>
      <c r="J28" s="115"/>
    </row>
    <row r="29" spans="1:11" ht="15" customHeight="1" thickBot="1">
      <c r="A29" s="377"/>
      <c r="B29" s="378"/>
      <c r="C29" s="378"/>
      <c r="D29" s="378"/>
      <c r="E29" s="378"/>
      <c r="F29" s="378"/>
      <c r="G29" s="378"/>
      <c r="H29" s="378"/>
      <c r="I29" s="378"/>
      <c r="J29" s="378"/>
      <c r="K29" s="379"/>
    </row>
    <row r="30" spans="1:11" ht="54" customHeight="1">
      <c r="A30" s="358" t="s">
        <v>184</v>
      </c>
      <c r="B30" s="104" t="s">
        <v>90</v>
      </c>
      <c r="C30" s="373" t="s">
        <v>185</v>
      </c>
      <c r="D30" s="374"/>
      <c r="E30" s="374"/>
      <c r="F30" s="374"/>
      <c r="G30" s="375"/>
      <c r="H30" s="105" t="s">
        <v>174</v>
      </c>
      <c r="I30" s="116" t="str">
        <f>IF(H30="Yes",2,IF(H30="No",0,IF(H30="N/A",2,"")))</f>
        <v/>
      </c>
      <c r="J30" s="117"/>
    </row>
    <row r="31" spans="1:11" ht="54" customHeight="1" thickBot="1">
      <c r="A31" s="358"/>
      <c r="B31" s="118" t="s">
        <v>91</v>
      </c>
      <c r="C31" s="424" t="s">
        <v>191</v>
      </c>
      <c r="D31" s="425"/>
      <c r="E31" s="425"/>
      <c r="F31" s="425"/>
      <c r="G31" s="426"/>
      <c r="H31" s="119" t="s">
        <v>194</v>
      </c>
      <c r="I31" s="120" t="str">
        <f>IF(H31="Yes",2,IF(H31="No",0,IF(H31="N/A",2,"")))</f>
        <v/>
      </c>
      <c r="J31" s="121"/>
    </row>
    <row r="32" spans="1:11" ht="9.75" customHeight="1" thickBot="1">
      <c r="A32" s="377"/>
      <c r="B32" s="378"/>
      <c r="C32" s="378"/>
      <c r="D32" s="378"/>
      <c r="E32" s="378"/>
      <c r="F32" s="378"/>
      <c r="G32" s="378"/>
      <c r="H32" s="378"/>
      <c r="I32" s="378"/>
      <c r="J32" s="379"/>
    </row>
    <row r="33" spans="1:10" s="14" customFormat="1" ht="36.75" customHeight="1">
      <c r="A33" s="316" t="s">
        <v>31</v>
      </c>
      <c r="B33" s="62" t="s">
        <v>81</v>
      </c>
      <c r="C33" s="332" t="s">
        <v>186</v>
      </c>
      <c r="D33" s="332"/>
      <c r="E33" s="332"/>
      <c r="F33" s="332"/>
      <c r="G33" s="332"/>
      <c r="H33" s="19" t="s">
        <v>174</v>
      </c>
      <c r="I33" s="7" t="str">
        <f t="shared" ref="I33:I43" si="2">IF(H33="Yes",2,IF(H33="No",0,IF(H33="N/A",2,"")))</f>
        <v/>
      </c>
      <c r="J33" s="26"/>
    </row>
    <row r="34" spans="1:10" s="14" customFormat="1" ht="48.75" customHeight="1">
      <c r="A34" s="317"/>
      <c r="B34" s="63" t="s">
        <v>82</v>
      </c>
      <c r="C34" s="319" t="s">
        <v>142</v>
      </c>
      <c r="D34" s="319"/>
      <c r="E34" s="319"/>
      <c r="F34" s="319"/>
      <c r="G34" s="319"/>
      <c r="H34" s="67" t="s">
        <v>174</v>
      </c>
      <c r="I34" s="2" t="str">
        <f t="shared" si="2"/>
        <v/>
      </c>
      <c r="J34" s="28"/>
    </row>
    <row r="35" spans="1:10" s="14" customFormat="1" ht="36.75" customHeight="1">
      <c r="A35" s="317"/>
      <c r="B35" s="64" t="s">
        <v>83</v>
      </c>
      <c r="C35" s="333" t="s">
        <v>187</v>
      </c>
      <c r="D35" s="333"/>
      <c r="E35" s="333"/>
      <c r="F35" s="333"/>
      <c r="G35" s="333"/>
      <c r="H35" s="21" t="s">
        <v>174</v>
      </c>
      <c r="I35" s="3" t="str">
        <f t="shared" si="2"/>
        <v/>
      </c>
      <c r="J35" s="114"/>
    </row>
    <row r="36" spans="1:10" s="14" customFormat="1" ht="36.75" customHeight="1">
      <c r="A36" s="317"/>
      <c r="B36" s="63" t="s">
        <v>84</v>
      </c>
      <c r="C36" s="319" t="s">
        <v>180</v>
      </c>
      <c r="D36" s="319"/>
      <c r="E36" s="319"/>
      <c r="F36" s="319"/>
      <c r="G36" s="319"/>
      <c r="H36" s="67" t="s">
        <v>194</v>
      </c>
      <c r="I36" s="2" t="str">
        <f t="shared" si="2"/>
        <v/>
      </c>
      <c r="J36" s="28"/>
    </row>
    <row r="37" spans="1:10" s="14" customFormat="1" ht="36.75" customHeight="1">
      <c r="A37" s="317"/>
      <c r="B37" s="64" t="s">
        <v>85</v>
      </c>
      <c r="C37" s="333" t="s">
        <v>46</v>
      </c>
      <c r="D37" s="333"/>
      <c r="E37" s="333"/>
      <c r="F37" s="333"/>
      <c r="G37" s="333"/>
      <c r="H37" s="21" t="s">
        <v>174</v>
      </c>
      <c r="I37" s="3" t="str">
        <f t="shared" si="2"/>
        <v/>
      </c>
      <c r="J37" s="29"/>
    </row>
    <row r="38" spans="1:10" s="14" customFormat="1" ht="42" customHeight="1" thickBot="1">
      <c r="A38" s="318"/>
      <c r="B38" s="63" t="s">
        <v>86</v>
      </c>
      <c r="C38" s="319" t="s">
        <v>175</v>
      </c>
      <c r="D38" s="319"/>
      <c r="E38" s="319"/>
      <c r="F38" s="319"/>
      <c r="G38" s="319"/>
      <c r="H38" s="70" t="s">
        <v>174</v>
      </c>
      <c r="I38" s="69" t="str">
        <f t="shared" si="2"/>
        <v/>
      </c>
      <c r="J38" s="31"/>
    </row>
    <row r="39" spans="1:10" ht="11.25" customHeight="1" thickBot="1">
      <c r="A39" s="52"/>
      <c r="B39" s="52"/>
      <c r="C39" s="52"/>
      <c r="D39" s="52"/>
      <c r="E39" s="52"/>
      <c r="F39" s="52"/>
      <c r="G39" s="52"/>
      <c r="H39" s="52"/>
      <c r="I39" s="52"/>
      <c r="J39" s="55"/>
    </row>
    <row r="40" spans="1:10" s="14" customFormat="1" ht="42" customHeight="1">
      <c r="A40" s="316" t="s">
        <v>153</v>
      </c>
      <c r="B40" s="15" t="s">
        <v>148</v>
      </c>
      <c r="C40" s="332" t="s">
        <v>188</v>
      </c>
      <c r="D40" s="332"/>
      <c r="E40" s="332"/>
      <c r="F40" s="332"/>
      <c r="G40" s="332"/>
      <c r="H40" s="19" t="s">
        <v>193</v>
      </c>
      <c r="I40" s="7">
        <f t="shared" si="2"/>
        <v>0</v>
      </c>
      <c r="J40" s="32"/>
    </row>
    <row r="41" spans="1:10" s="14" customFormat="1" ht="36.75" customHeight="1">
      <c r="A41" s="317"/>
      <c r="B41" s="65" t="s">
        <v>150</v>
      </c>
      <c r="C41" s="430" t="s">
        <v>189</v>
      </c>
      <c r="D41" s="431"/>
      <c r="E41" s="431"/>
      <c r="F41" s="431"/>
      <c r="G41" s="432"/>
      <c r="H41" s="67" t="s">
        <v>174</v>
      </c>
      <c r="I41" s="2" t="str">
        <f t="shared" si="2"/>
        <v/>
      </c>
      <c r="J41" s="28"/>
    </row>
    <row r="42" spans="1:10" s="14" customFormat="1" ht="39" customHeight="1">
      <c r="A42" s="317"/>
      <c r="B42" s="64" t="s">
        <v>151</v>
      </c>
      <c r="C42" s="363" t="s">
        <v>164</v>
      </c>
      <c r="D42" s="364"/>
      <c r="E42" s="364"/>
      <c r="F42" s="364"/>
      <c r="G42" s="365"/>
      <c r="H42" s="21" t="s">
        <v>174</v>
      </c>
      <c r="I42" s="3" t="str">
        <f t="shared" si="2"/>
        <v/>
      </c>
      <c r="J42" s="114"/>
    </row>
    <row r="43" spans="1:10" s="14" customFormat="1" ht="53.25" customHeight="1" thickBot="1">
      <c r="A43" s="318"/>
      <c r="B43" s="63" t="s">
        <v>152</v>
      </c>
      <c r="C43" s="319" t="s">
        <v>190</v>
      </c>
      <c r="D43" s="319"/>
      <c r="E43" s="319"/>
      <c r="F43" s="319"/>
      <c r="G43" s="319"/>
      <c r="H43" s="70" t="s">
        <v>174</v>
      </c>
      <c r="I43" s="69" t="str">
        <f t="shared" si="2"/>
        <v/>
      </c>
      <c r="J43" s="31"/>
    </row>
    <row r="44" spans="1:10" ht="11.25" customHeight="1" thickBot="1">
      <c r="A44" s="52"/>
      <c r="B44" s="52"/>
      <c r="C44" s="52"/>
      <c r="D44" s="52"/>
      <c r="E44" s="52"/>
      <c r="F44" s="52"/>
      <c r="G44" s="52"/>
      <c r="H44" s="52"/>
      <c r="I44" s="52"/>
      <c r="J44" s="55"/>
    </row>
    <row r="45" spans="1:10" ht="36.75" customHeight="1">
      <c r="A45" s="358" t="s">
        <v>92</v>
      </c>
      <c r="B45" s="56" t="s">
        <v>93</v>
      </c>
      <c r="C45" s="340" t="s">
        <v>48</v>
      </c>
      <c r="D45" s="340"/>
      <c r="E45" s="340"/>
      <c r="F45" s="340"/>
      <c r="G45" s="340"/>
      <c r="H45" s="19" t="s">
        <v>174</v>
      </c>
      <c r="I45" s="7" t="str">
        <f t="shared" si="1"/>
        <v/>
      </c>
      <c r="J45" s="72"/>
    </row>
    <row r="46" spans="1:10" ht="36.75" customHeight="1">
      <c r="A46" s="358"/>
      <c r="B46" s="16" t="s">
        <v>94</v>
      </c>
      <c r="C46" s="319" t="s">
        <v>13</v>
      </c>
      <c r="D46" s="319"/>
      <c r="E46" s="319"/>
      <c r="F46" s="319"/>
      <c r="G46" s="319"/>
      <c r="H46" s="67" t="s">
        <v>174</v>
      </c>
      <c r="I46" s="2" t="str">
        <f t="shared" si="1"/>
        <v/>
      </c>
      <c r="J46" s="28"/>
    </row>
    <row r="47" spans="1:10" ht="36.75" customHeight="1">
      <c r="A47" s="358"/>
      <c r="B47" s="17" t="s">
        <v>95</v>
      </c>
      <c r="C47" s="333" t="s">
        <v>168</v>
      </c>
      <c r="D47" s="333"/>
      <c r="E47" s="333"/>
      <c r="F47" s="333"/>
      <c r="G47" s="333"/>
      <c r="H47" s="21" t="s">
        <v>174</v>
      </c>
      <c r="I47" s="3" t="str">
        <f t="shared" si="1"/>
        <v/>
      </c>
      <c r="J47" s="29"/>
    </row>
    <row r="48" spans="1:10" ht="36.75" customHeight="1">
      <c r="A48" s="358"/>
      <c r="B48" s="46" t="s">
        <v>96</v>
      </c>
      <c r="C48" s="392" t="s">
        <v>18</v>
      </c>
      <c r="D48" s="392"/>
      <c r="E48" s="392"/>
      <c r="F48" s="392"/>
      <c r="G48" s="392"/>
      <c r="H48" s="67" t="s">
        <v>174</v>
      </c>
      <c r="I48" s="2" t="str">
        <f t="shared" si="1"/>
        <v/>
      </c>
      <c r="J48" s="47"/>
    </row>
    <row r="49" spans="1:10" ht="36.75" customHeight="1">
      <c r="A49" s="358"/>
      <c r="B49" s="41" t="s">
        <v>97</v>
      </c>
      <c r="C49" s="429" t="s">
        <v>14</v>
      </c>
      <c r="D49" s="429"/>
      <c r="E49" s="429"/>
      <c r="F49" s="429"/>
      <c r="G49" s="429"/>
      <c r="H49" s="21" t="s">
        <v>174</v>
      </c>
      <c r="I49" s="3" t="str">
        <f t="shared" si="1"/>
        <v/>
      </c>
      <c r="J49" s="42"/>
    </row>
    <row r="50" spans="1:10" ht="36.75" customHeight="1">
      <c r="A50" s="358"/>
      <c r="B50" s="16" t="s">
        <v>98</v>
      </c>
      <c r="C50" s="319" t="s">
        <v>15</v>
      </c>
      <c r="D50" s="319"/>
      <c r="E50" s="319"/>
      <c r="F50" s="319"/>
      <c r="G50" s="319"/>
      <c r="H50" s="67" t="s">
        <v>174</v>
      </c>
      <c r="I50" s="2" t="str">
        <f t="shared" si="1"/>
        <v/>
      </c>
      <c r="J50" s="28"/>
    </row>
    <row r="51" spans="1:10" ht="36.75" customHeight="1">
      <c r="A51" s="358"/>
      <c r="B51" s="17" t="s">
        <v>99</v>
      </c>
      <c r="C51" s="333" t="s">
        <v>49</v>
      </c>
      <c r="D51" s="333"/>
      <c r="E51" s="333"/>
      <c r="F51" s="333"/>
      <c r="G51" s="333"/>
      <c r="H51" s="21" t="s">
        <v>174</v>
      </c>
      <c r="I51" s="3" t="str">
        <f t="shared" si="1"/>
        <v/>
      </c>
      <c r="J51" s="114"/>
    </row>
    <row r="52" spans="1:10" ht="36.75" customHeight="1">
      <c r="A52" s="358"/>
      <c r="B52" s="53" t="s">
        <v>100</v>
      </c>
      <c r="C52" s="428" t="s">
        <v>16</v>
      </c>
      <c r="D52" s="428"/>
      <c r="E52" s="428"/>
      <c r="F52" s="428"/>
      <c r="G52" s="428"/>
      <c r="H52" s="67" t="s">
        <v>174</v>
      </c>
      <c r="I52" s="2" t="str">
        <f t="shared" si="1"/>
        <v/>
      </c>
      <c r="J52" s="54"/>
    </row>
    <row r="53" spans="1:10" ht="36.75" customHeight="1">
      <c r="A53" s="358"/>
      <c r="B53" s="94" t="s">
        <v>101</v>
      </c>
      <c r="C53" s="434" t="s">
        <v>17</v>
      </c>
      <c r="D53" s="434"/>
      <c r="E53" s="434"/>
      <c r="F53" s="434"/>
      <c r="G53" s="434"/>
      <c r="H53" s="79" t="s">
        <v>174</v>
      </c>
      <c r="I53" s="80" t="str">
        <f t="shared" ref="I53" si="3">IF(H53="Yes",2,IF(H53="No",0,IF(H53="N/A",2,"")))</f>
        <v/>
      </c>
      <c r="J53" s="88"/>
    </row>
    <row r="54" spans="1:10" ht="36.75" customHeight="1" thickBot="1">
      <c r="A54" s="359"/>
      <c r="B54" s="89" t="s">
        <v>166</v>
      </c>
      <c r="C54" s="417" t="s">
        <v>167</v>
      </c>
      <c r="D54" s="417"/>
      <c r="E54" s="417"/>
      <c r="F54" s="417"/>
      <c r="G54" s="417"/>
      <c r="H54" s="90" t="s">
        <v>174</v>
      </c>
      <c r="I54" s="69" t="str">
        <f t="shared" si="1"/>
        <v/>
      </c>
      <c r="J54" s="31"/>
    </row>
    <row r="55" spans="1:10" ht="11.25" customHeight="1" thickBot="1">
      <c r="A55" s="1"/>
      <c r="B55" s="1"/>
      <c r="C55" s="1"/>
      <c r="D55" s="1"/>
      <c r="E55" s="1"/>
      <c r="F55" s="1"/>
      <c r="G55" s="1"/>
      <c r="H55" s="1"/>
      <c r="I55" s="1"/>
    </row>
    <row r="56" spans="1:10" ht="42.75" customHeight="1">
      <c r="A56" s="329" t="s">
        <v>32</v>
      </c>
      <c r="B56" s="15" t="s">
        <v>102</v>
      </c>
      <c r="C56" s="332" t="s">
        <v>19</v>
      </c>
      <c r="D56" s="332"/>
      <c r="E56" s="332"/>
      <c r="F56" s="332"/>
      <c r="G56" s="332"/>
      <c r="H56" s="19" t="s">
        <v>174</v>
      </c>
      <c r="I56" s="7" t="str">
        <f>IF(H56="Yes",6,IF(H56="No",0,IF(H56="N/A",6,"")))</f>
        <v/>
      </c>
      <c r="J56" s="35"/>
    </row>
    <row r="57" spans="1:10" ht="39.75" customHeight="1">
      <c r="A57" s="330"/>
      <c r="B57" s="48" t="s">
        <v>103</v>
      </c>
      <c r="C57" s="326" t="s">
        <v>50</v>
      </c>
      <c r="D57" s="327"/>
      <c r="E57" s="327"/>
      <c r="F57" s="327"/>
      <c r="G57" s="328"/>
      <c r="H57" s="67" t="s">
        <v>174</v>
      </c>
      <c r="I57" s="2" t="str">
        <f t="shared" si="1"/>
        <v/>
      </c>
      <c r="J57" s="49"/>
    </row>
    <row r="58" spans="1:10" ht="42.75" customHeight="1">
      <c r="A58" s="330"/>
      <c r="B58" s="41" t="s">
        <v>104</v>
      </c>
      <c r="C58" s="429" t="s">
        <v>51</v>
      </c>
      <c r="D58" s="429"/>
      <c r="E58" s="429"/>
      <c r="F58" s="429"/>
      <c r="G58" s="429"/>
      <c r="H58" s="21" t="s">
        <v>174</v>
      </c>
      <c r="I58" s="3" t="str">
        <f t="shared" si="1"/>
        <v/>
      </c>
      <c r="J58" s="43"/>
    </row>
    <row r="59" spans="1:10" ht="42.75" customHeight="1">
      <c r="A59" s="330"/>
      <c r="B59" s="46" t="s">
        <v>105</v>
      </c>
      <c r="C59" s="392" t="s">
        <v>52</v>
      </c>
      <c r="D59" s="392"/>
      <c r="E59" s="392"/>
      <c r="F59" s="392"/>
      <c r="G59" s="392"/>
      <c r="H59" s="67" t="s">
        <v>174</v>
      </c>
      <c r="I59" s="2" t="str">
        <f>IF(H59="Yes",2,IF(H59="No",0,IF(H59="N/A",2,"")))</f>
        <v/>
      </c>
      <c r="J59" s="49"/>
    </row>
    <row r="60" spans="1:10" ht="42.75" customHeight="1">
      <c r="A60" s="330"/>
      <c r="B60" s="40" t="s">
        <v>106</v>
      </c>
      <c r="C60" s="323" t="s">
        <v>147</v>
      </c>
      <c r="D60" s="324"/>
      <c r="E60" s="324"/>
      <c r="F60" s="324"/>
      <c r="G60" s="325"/>
      <c r="H60" s="21" t="s">
        <v>174</v>
      </c>
      <c r="I60" s="3" t="str">
        <f t="shared" si="1"/>
        <v/>
      </c>
      <c r="J60" s="73"/>
    </row>
    <row r="61" spans="1:10" ht="42.75" customHeight="1">
      <c r="A61" s="330"/>
      <c r="B61" s="50" t="s">
        <v>107</v>
      </c>
      <c r="C61" s="326" t="s">
        <v>53</v>
      </c>
      <c r="D61" s="327"/>
      <c r="E61" s="327"/>
      <c r="F61" s="327"/>
      <c r="G61" s="328"/>
      <c r="H61" s="67" t="s">
        <v>174</v>
      </c>
      <c r="I61" s="2" t="str">
        <f t="shared" si="1"/>
        <v/>
      </c>
      <c r="J61" s="49"/>
    </row>
    <row r="62" spans="1:10" ht="42.75" customHeight="1" thickBot="1">
      <c r="A62" s="331"/>
      <c r="B62" s="18" t="s">
        <v>108</v>
      </c>
      <c r="C62" s="369" t="s">
        <v>54</v>
      </c>
      <c r="D62" s="369"/>
      <c r="E62" s="369"/>
      <c r="F62" s="369"/>
      <c r="G62" s="369"/>
      <c r="H62" s="22" t="s">
        <v>174</v>
      </c>
      <c r="I62" s="71" t="str">
        <f t="shared" si="1"/>
        <v/>
      </c>
      <c r="J62" s="36"/>
    </row>
    <row r="63" spans="1:10" ht="11.25" customHeight="1" thickBot="1">
      <c r="A63" s="1"/>
      <c r="B63" s="1"/>
      <c r="C63" s="1"/>
      <c r="D63" s="1"/>
      <c r="E63" s="1"/>
      <c r="F63" s="1"/>
      <c r="G63" s="1"/>
      <c r="H63" s="1"/>
      <c r="I63" s="1"/>
    </row>
    <row r="64" spans="1:10" ht="42.75" customHeight="1">
      <c r="A64" s="329" t="s">
        <v>60</v>
      </c>
      <c r="B64" s="15" t="s">
        <v>109</v>
      </c>
      <c r="C64" s="332" t="s">
        <v>61</v>
      </c>
      <c r="D64" s="332"/>
      <c r="E64" s="332"/>
      <c r="F64" s="332"/>
      <c r="G64" s="332"/>
      <c r="H64" s="19" t="s">
        <v>194</v>
      </c>
      <c r="I64" s="7" t="str">
        <f t="shared" si="1"/>
        <v/>
      </c>
      <c r="J64" s="32"/>
    </row>
    <row r="65" spans="1:10" ht="34.5" customHeight="1">
      <c r="A65" s="330"/>
      <c r="B65" s="16" t="s">
        <v>110</v>
      </c>
      <c r="C65" s="319" t="s">
        <v>62</v>
      </c>
      <c r="D65" s="319"/>
      <c r="E65" s="319"/>
      <c r="F65" s="319"/>
      <c r="G65" s="319"/>
      <c r="H65" s="67" t="s">
        <v>194</v>
      </c>
      <c r="I65" s="2" t="str">
        <f t="shared" si="1"/>
        <v/>
      </c>
      <c r="J65" s="33"/>
    </row>
    <row r="66" spans="1:10" ht="45.75" customHeight="1">
      <c r="A66" s="330"/>
      <c r="B66" s="17" t="s">
        <v>111</v>
      </c>
      <c r="C66" s="333" t="s">
        <v>63</v>
      </c>
      <c r="D66" s="333"/>
      <c r="E66" s="333"/>
      <c r="F66" s="333"/>
      <c r="G66" s="333"/>
      <c r="H66" s="21" t="s">
        <v>174</v>
      </c>
      <c r="I66" s="3" t="str">
        <f t="shared" si="1"/>
        <v/>
      </c>
      <c r="J66" s="34"/>
    </row>
    <row r="67" spans="1:10" ht="45.75" customHeight="1">
      <c r="A67" s="330"/>
      <c r="B67" s="93" t="s">
        <v>112</v>
      </c>
      <c r="C67" s="433" t="s">
        <v>64</v>
      </c>
      <c r="D67" s="433"/>
      <c r="E67" s="433"/>
      <c r="F67" s="433"/>
      <c r="G67" s="433"/>
      <c r="H67" s="86" t="s">
        <v>174</v>
      </c>
      <c r="I67" s="87" t="str">
        <f>IF(H67="Yes",2,IF(H67="No",0,IF(H67="N/A",2,"")))</f>
        <v/>
      </c>
      <c r="J67" s="91"/>
    </row>
    <row r="68" spans="1:10" ht="37.5" customHeight="1" thickBot="1">
      <c r="A68" s="331"/>
      <c r="B68" s="85" t="s">
        <v>162</v>
      </c>
      <c r="C68" s="342" t="s">
        <v>163</v>
      </c>
      <c r="D68" s="342"/>
      <c r="E68" s="342"/>
      <c r="F68" s="342"/>
      <c r="G68" s="342"/>
      <c r="H68" s="82" t="s">
        <v>174</v>
      </c>
      <c r="I68" s="83" t="str">
        <f>IF(H68="Yes",2,IF(H68="No",0,IF(H68="N/A",2,"")))</f>
        <v/>
      </c>
      <c r="J68" s="92"/>
    </row>
    <row r="69" spans="1:10" ht="11.25" customHeight="1" thickBot="1">
      <c r="A69" s="57"/>
      <c r="B69" s="52"/>
      <c r="C69" s="52"/>
      <c r="D69" s="52"/>
      <c r="E69" s="52"/>
      <c r="F69" s="52"/>
      <c r="G69" s="52"/>
      <c r="H69" s="52"/>
      <c r="I69" s="52"/>
      <c r="J69" s="55"/>
    </row>
    <row r="70" spans="1:10" ht="34.5" customHeight="1">
      <c r="A70" s="337" t="s">
        <v>33</v>
      </c>
      <c r="B70" s="74" t="s">
        <v>113</v>
      </c>
      <c r="C70" s="340" t="s">
        <v>55</v>
      </c>
      <c r="D70" s="340"/>
      <c r="E70" s="340"/>
      <c r="F70" s="340"/>
      <c r="G70" s="340"/>
      <c r="H70" s="19" t="s">
        <v>174</v>
      </c>
      <c r="I70" s="7" t="str">
        <f t="shared" si="1"/>
        <v/>
      </c>
      <c r="J70" s="113"/>
    </row>
    <row r="71" spans="1:10" ht="34.5" customHeight="1">
      <c r="A71" s="338"/>
      <c r="B71" s="53" t="s">
        <v>169</v>
      </c>
      <c r="C71" s="428" t="s">
        <v>65</v>
      </c>
      <c r="D71" s="428"/>
      <c r="E71" s="428"/>
      <c r="F71" s="428"/>
      <c r="G71" s="428"/>
      <c r="H71" s="67" t="s">
        <v>174</v>
      </c>
      <c r="I71" s="51" t="str">
        <f t="shared" si="1"/>
        <v/>
      </c>
      <c r="J71" s="66"/>
    </row>
    <row r="72" spans="1:10" ht="34.5" customHeight="1">
      <c r="A72" s="338"/>
      <c r="B72" s="59" t="s">
        <v>170</v>
      </c>
      <c r="C72" s="343" t="s">
        <v>66</v>
      </c>
      <c r="D72" s="343"/>
      <c r="E72" s="343"/>
      <c r="F72" s="343"/>
      <c r="G72" s="343"/>
      <c r="H72" s="21" t="s">
        <v>174</v>
      </c>
      <c r="I72" s="3" t="str">
        <f t="shared" si="1"/>
        <v/>
      </c>
      <c r="J72" s="75"/>
    </row>
    <row r="73" spans="1:10" ht="45.75" customHeight="1" thickBot="1">
      <c r="A73" s="339"/>
      <c r="B73" s="76" t="s">
        <v>149</v>
      </c>
      <c r="C73" s="341" t="s">
        <v>20</v>
      </c>
      <c r="D73" s="341"/>
      <c r="E73" s="341"/>
      <c r="F73" s="341"/>
      <c r="G73" s="341"/>
      <c r="H73" s="70" t="s">
        <v>174</v>
      </c>
      <c r="I73" s="69" t="str">
        <f t="shared" si="1"/>
        <v/>
      </c>
      <c r="J73" s="68"/>
    </row>
    <row r="74" spans="1:10" ht="11.25" customHeight="1" thickBot="1">
      <c r="A74" s="1"/>
      <c r="B74" s="1"/>
      <c r="C74" s="1"/>
      <c r="D74" s="1"/>
      <c r="E74" s="1"/>
      <c r="F74" s="1"/>
      <c r="G74" s="1"/>
      <c r="H74" s="1"/>
      <c r="I74" s="1"/>
    </row>
    <row r="75" spans="1:10" ht="31.5" customHeight="1">
      <c r="A75" s="337" t="s">
        <v>1</v>
      </c>
      <c r="B75" s="15" t="s">
        <v>114</v>
      </c>
      <c r="C75" s="332" t="s">
        <v>36</v>
      </c>
      <c r="D75" s="332"/>
      <c r="E75" s="332"/>
      <c r="F75" s="332"/>
      <c r="G75" s="332"/>
      <c r="H75" s="19" t="s">
        <v>174</v>
      </c>
      <c r="I75" s="7" t="str">
        <f t="shared" si="1"/>
        <v/>
      </c>
      <c r="J75" s="112"/>
    </row>
    <row r="76" spans="1:10" ht="36.75" customHeight="1">
      <c r="A76" s="338"/>
      <c r="B76" s="16" t="s">
        <v>115</v>
      </c>
      <c r="C76" s="319" t="s">
        <v>176</v>
      </c>
      <c r="D76" s="319"/>
      <c r="E76" s="319"/>
      <c r="F76" s="319"/>
      <c r="G76" s="319"/>
      <c r="H76" s="67" t="s">
        <v>174</v>
      </c>
      <c r="I76" s="2" t="str">
        <f t="shared" si="1"/>
        <v/>
      </c>
      <c r="J76" s="28"/>
    </row>
    <row r="77" spans="1:10" ht="31.5" customHeight="1">
      <c r="A77" s="338"/>
      <c r="B77" s="17" t="s">
        <v>116</v>
      </c>
      <c r="C77" s="333" t="s">
        <v>21</v>
      </c>
      <c r="D77" s="333"/>
      <c r="E77" s="333"/>
      <c r="F77" s="333"/>
      <c r="G77" s="333"/>
      <c r="H77" s="21" t="s">
        <v>174</v>
      </c>
      <c r="I77" s="3" t="str">
        <f t="shared" si="1"/>
        <v/>
      </c>
      <c r="J77" s="29"/>
    </row>
    <row r="78" spans="1:10" ht="31.5" customHeight="1">
      <c r="A78" s="338"/>
      <c r="B78" s="16" t="s">
        <v>117</v>
      </c>
      <c r="C78" s="319" t="s">
        <v>22</v>
      </c>
      <c r="D78" s="319"/>
      <c r="E78" s="319"/>
      <c r="F78" s="319"/>
      <c r="G78" s="319"/>
      <c r="H78" s="67" t="s">
        <v>174</v>
      </c>
      <c r="I78" s="2" t="str">
        <f t="shared" si="1"/>
        <v/>
      </c>
      <c r="J78" s="28"/>
    </row>
    <row r="79" spans="1:10" ht="47.25" customHeight="1">
      <c r="A79" s="338"/>
      <c r="B79" s="17" t="s">
        <v>118</v>
      </c>
      <c r="C79" s="333" t="s">
        <v>23</v>
      </c>
      <c r="D79" s="333"/>
      <c r="E79" s="333"/>
      <c r="F79" s="333"/>
      <c r="G79" s="333"/>
      <c r="H79" s="21" t="s">
        <v>174</v>
      </c>
      <c r="I79" s="3" t="str">
        <f t="shared" si="1"/>
        <v/>
      </c>
      <c r="J79" s="29"/>
    </row>
    <row r="80" spans="1:10" ht="31.5" customHeight="1">
      <c r="A80" s="338"/>
      <c r="B80" s="46" t="s">
        <v>119</v>
      </c>
      <c r="C80" s="392" t="s">
        <v>24</v>
      </c>
      <c r="D80" s="392"/>
      <c r="E80" s="392"/>
      <c r="F80" s="392"/>
      <c r="G80" s="392"/>
      <c r="H80" s="67" t="s">
        <v>174</v>
      </c>
      <c r="I80" s="2" t="str">
        <f t="shared" ref="I80:I96" si="4">IF(H80="Yes",2,IF(H80="No",0,IF(H80="N/A",2,"")))</f>
        <v/>
      </c>
      <c r="J80" s="47"/>
    </row>
    <row r="81" spans="1:10" ht="31.5" customHeight="1" thickBot="1">
      <c r="A81" s="339"/>
      <c r="B81" s="44" t="s">
        <v>120</v>
      </c>
      <c r="C81" s="393" t="s">
        <v>56</v>
      </c>
      <c r="D81" s="393"/>
      <c r="E81" s="393"/>
      <c r="F81" s="393"/>
      <c r="G81" s="393"/>
      <c r="H81" s="22" t="s">
        <v>174</v>
      </c>
      <c r="I81" s="71" t="str">
        <f t="shared" si="4"/>
        <v/>
      </c>
      <c r="J81" s="45"/>
    </row>
    <row r="82" spans="1:10" ht="11.25" customHeight="1" thickBot="1">
      <c r="A82" s="1"/>
      <c r="B82" s="1"/>
      <c r="C82" s="1"/>
      <c r="D82" s="1"/>
      <c r="E82" s="1"/>
      <c r="F82" s="1"/>
      <c r="G82" s="1"/>
      <c r="H82" s="1"/>
      <c r="I82" s="1"/>
    </row>
    <row r="83" spans="1:10" ht="39.75" customHeight="1">
      <c r="A83" s="334" t="s">
        <v>34</v>
      </c>
      <c r="B83" s="15" t="s">
        <v>121</v>
      </c>
      <c r="C83" s="332" t="s">
        <v>37</v>
      </c>
      <c r="D83" s="332"/>
      <c r="E83" s="332"/>
      <c r="F83" s="332"/>
      <c r="G83" s="332"/>
      <c r="H83" s="19" t="s">
        <v>193</v>
      </c>
      <c r="I83" s="7">
        <f t="shared" si="4"/>
        <v>0</v>
      </c>
      <c r="J83" s="26"/>
    </row>
    <row r="84" spans="1:10" ht="39.75" customHeight="1">
      <c r="A84" s="335"/>
      <c r="B84" s="50" t="s">
        <v>122</v>
      </c>
      <c r="C84" s="326" t="s">
        <v>59</v>
      </c>
      <c r="D84" s="327"/>
      <c r="E84" s="327"/>
      <c r="F84" s="327"/>
      <c r="G84" s="328"/>
      <c r="H84" s="67" t="s">
        <v>174</v>
      </c>
      <c r="I84" s="2" t="str">
        <f t="shared" si="4"/>
        <v/>
      </c>
      <c r="J84" s="47"/>
    </row>
    <row r="85" spans="1:10" ht="39.75" customHeight="1">
      <c r="A85" s="335"/>
      <c r="B85" s="17" t="s">
        <v>123</v>
      </c>
      <c r="C85" s="323" t="s">
        <v>58</v>
      </c>
      <c r="D85" s="324"/>
      <c r="E85" s="324"/>
      <c r="F85" s="324"/>
      <c r="G85" s="325"/>
      <c r="H85" s="21" t="s">
        <v>174</v>
      </c>
      <c r="I85" s="3" t="str">
        <f t="shared" si="4"/>
        <v/>
      </c>
      <c r="J85" s="29"/>
    </row>
    <row r="86" spans="1:10" ht="39.75" customHeight="1">
      <c r="A86" s="335"/>
      <c r="B86" s="93" t="s">
        <v>124</v>
      </c>
      <c r="C86" s="433" t="s">
        <v>57</v>
      </c>
      <c r="D86" s="433"/>
      <c r="E86" s="433"/>
      <c r="F86" s="433"/>
      <c r="G86" s="433"/>
      <c r="H86" s="86" t="s">
        <v>174</v>
      </c>
      <c r="I86" s="87" t="str">
        <f t="shared" ref="I86" si="5">IF(H86="Yes",2,IF(H86="No",0,IF(H86="N/A",2,"")))</f>
        <v/>
      </c>
      <c r="J86" s="81"/>
    </row>
    <row r="87" spans="1:10" ht="45" customHeight="1" thickBot="1">
      <c r="A87" s="336"/>
      <c r="B87" s="85" t="s">
        <v>165</v>
      </c>
      <c r="C87" s="342" t="s">
        <v>181</v>
      </c>
      <c r="D87" s="342"/>
      <c r="E87" s="342"/>
      <c r="F87" s="342"/>
      <c r="G87" s="342"/>
      <c r="H87" s="82" t="s">
        <v>174</v>
      </c>
      <c r="I87" s="83" t="str">
        <f t="shared" si="4"/>
        <v/>
      </c>
      <c r="J87" s="84"/>
    </row>
    <row r="88" spans="1:10" ht="11.25" customHeight="1" thickBot="1">
      <c r="A88" s="1"/>
      <c r="B88" s="1"/>
      <c r="C88" s="1"/>
      <c r="D88" s="1"/>
      <c r="E88" s="1"/>
      <c r="F88" s="1"/>
      <c r="G88" s="1"/>
      <c r="H88" s="1"/>
      <c r="I88" s="1"/>
    </row>
    <row r="89" spans="1:10" s="14" customFormat="1" ht="43.5" customHeight="1">
      <c r="A89" s="334" t="s">
        <v>35</v>
      </c>
      <c r="B89" s="15" t="s">
        <v>125</v>
      </c>
      <c r="C89" s="332" t="s">
        <v>177</v>
      </c>
      <c r="D89" s="332"/>
      <c r="E89" s="332"/>
      <c r="F89" s="332"/>
      <c r="G89" s="332"/>
      <c r="H89" s="19" t="s">
        <v>174</v>
      </c>
      <c r="I89" s="7" t="str">
        <f t="shared" si="4"/>
        <v/>
      </c>
      <c r="J89" s="26"/>
    </row>
    <row r="90" spans="1:10" s="14" customFormat="1" ht="31.5" customHeight="1">
      <c r="A90" s="335"/>
      <c r="B90" s="16" t="s">
        <v>126</v>
      </c>
      <c r="C90" s="319" t="s">
        <v>25</v>
      </c>
      <c r="D90" s="319"/>
      <c r="E90" s="319"/>
      <c r="F90" s="319"/>
      <c r="G90" s="319"/>
      <c r="H90" s="67" t="s">
        <v>174</v>
      </c>
      <c r="I90" s="2" t="str">
        <f t="shared" si="4"/>
        <v/>
      </c>
      <c r="J90" s="28"/>
    </row>
    <row r="91" spans="1:10" s="14" customFormat="1" ht="33" customHeight="1">
      <c r="A91" s="335"/>
      <c r="B91" s="17" t="s">
        <v>127</v>
      </c>
      <c r="C91" s="333" t="s">
        <v>26</v>
      </c>
      <c r="D91" s="333"/>
      <c r="E91" s="333"/>
      <c r="F91" s="333"/>
      <c r="G91" s="333"/>
      <c r="H91" s="21" t="s">
        <v>174</v>
      </c>
      <c r="I91" s="3" t="str">
        <f t="shared" si="4"/>
        <v/>
      </c>
      <c r="J91" s="29"/>
    </row>
    <row r="92" spans="1:10" s="14" customFormat="1" ht="31.5" customHeight="1">
      <c r="A92" s="335"/>
      <c r="B92" s="16" t="s">
        <v>128</v>
      </c>
      <c r="C92" s="319" t="s">
        <v>178</v>
      </c>
      <c r="D92" s="319"/>
      <c r="E92" s="319"/>
      <c r="F92" s="319"/>
      <c r="G92" s="319"/>
      <c r="H92" s="67" t="s">
        <v>174</v>
      </c>
      <c r="I92" s="2" t="str">
        <f t="shared" si="4"/>
        <v/>
      </c>
      <c r="J92" s="28"/>
    </row>
    <row r="93" spans="1:10" s="14" customFormat="1" ht="36.75" customHeight="1">
      <c r="A93" s="335"/>
      <c r="B93" s="17" t="s">
        <v>129</v>
      </c>
      <c r="C93" s="333" t="s">
        <v>27</v>
      </c>
      <c r="D93" s="333"/>
      <c r="E93" s="333"/>
      <c r="F93" s="333"/>
      <c r="G93" s="333"/>
      <c r="H93" s="21" t="s">
        <v>174</v>
      </c>
      <c r="I93" s="3" t="str">
        <f t="shared" si="4"/>
        <v/>
      </c>
      <c r="J93" s="29"/>
    </row>
    <row r="94" spans="1:10" s="14" customFormat="1" ht="32.25" customHeight="1">
      <c r="A94" s="335"/>
      <c r="B94" s="16" t="s">
        <v>130</v>
      </c>
      <c r="C94" s="319" t="s">
        <v>28</v>
      </c>
      <c r="D94" s="319"/>
      <c r="E94" s="319"/>
      <c r="F94" s="319"/>
      <c r="G94" s="319"/>
      <c r="H94" s="67" t="s">
        <v>174</v>
      </c>
      <c r="I94" s="2" t="str">
        <f t="shared" si="4"/>
        <v/>
      </c>
      <c r="J94" s="28"/>
    </row>
    <row r="95" spans="1:10" s="14" customFormat="1" ht="32.25" customHeight="1">
      <c r="A95" s="335"/>
      <c r="B95" s="59" t="s">
        <v>171</v>
      </c>
      <c r="C95" s="421" t="s">
        <v>45</v>
      </c>
      <c r="D95" s="422"/>
      <c r="E95" s="422"/>
      <c r="F95" s="422"/>
      <c r="G95" s="423"/>
      <c r="H95" s="77" t="s">
        <v>174</v>
      </c>
      <c r="I95" s="60" t="str">
        <f t="shared" si="4"/>
        <v/>
      </c>
      <c r="J95" s="61"/>
    </row>
    <row r="96" spans="1:10" s="14" customFormat="1" ht="34.5" customHeight="1" thickBot="1">
      <c r="A96" s="336"/>
      <c r="B96" s="58" t="s">
        <v>146</v>
      </c>
      <c r="C96" s="387" t="s">
        <v>29</v>
      </c>
      <c r="D96" s="387"/>
      <c r="E96" s="387"/>
      <c r="F96" s="387"/>
      <c r="G96" s="387"/>
      <c r="H96" s="70" t="s">
        <v>174</v>
      </c>
      <c r="I96" s="78" t="str">
        <f t="shared" si="4"/>
        <v/>
      </c>
      <c r="J96" s="111"/>
    </row>
    <row r="97" spans="1:10" ht="11.25" customHeight="1" thickBot="1">
      <c r="A97" s="1"/>
      <c r="B97" s="1"/>
      <c r="C97" s="1"/>
      <c r="D97" s="1"/>
      <c r="E97" s="1"/>
      <c r="F97" s="1"/>
      <c r="G97" s="1"/>
      <c r="H97" s="1"/>
      <c r="I97" s="24"/>
    </row>
    <row r="98" spans="1:10" ht="32.25" customHeight="1">
      <c r="A98" s="334" t="s">
        <v>132</v>
      </c>
      <c r="B98" s="15" t="s">
        <v>133</v>
      </c>
      <c r="C98" s="332"/>
      <c r="D98" s="332"/>
      <c r="E98" s="332"/>
      <c r="F98" s="332"/>
      <c r="G98" s="332"/>
      <c r="H98" s="19"/>
      <c r="I98" s="320"/>
      <c r="J98" s="26"/>
    </row>
    <row r="99" spans="1:10" ht="32.25" customHeight="1">
      <c r="A99" s="335"/>
      <c r="B99" s="16" t="s">
        <v>134</v>
      </c>
      <c r="C99" s="319"/>
      <c r="D99" s="319"/>
      <c r="E99" s="319"/>
      <c r="F99" s="319"/>
      <c r="G99" s="319"/>
      <c r="H99" s="67"/>
      <c r="I99" s="321"/>
      <c r="J99" s="28"/>
    </row>
    <row r="100" spans="1:10" ht="32.25" customHeight="1">
      <c r="A100" s="335"/>
      <c r="B100" s="17" t="s">
        <v>135</v>
      </c>
      <c r="C100" s="333"/>
      <c r="D100" s="333"/>
      <c r="E100" s="333"/>
      <c r="F100" s="333"/>
      <c r="G100" s="333"/>
      <c r="H100" s="21"/>
      <c r="I100" s="321"/>
      <c r="J100" s="29"/>
    </row>
    <row r="101" spans="1:10" ht="31.5" customHeight="1">
      <c r="A101" s="335"/>
      <c r="B101" s="16" t="s">
        <v>136</v>
      </c>
      <c r="C101" s="319"/>
      <c r="D101" s="319"/>
      <c r="E101" s="319"/>
      <c r="F101" s="319"/>
      <c r="G101" s="319"/>
      <c r="H101" s="67"/>
      <c r="I101" s="321"/>
      <c r="J101" s="28"/>
    </row>
    <row r="102" spans="1:10" ht="31.5" customHeight="1">
      <c r="A102" s="335"/>
      <c r="B102" s="17" t="s">
        <v>137</v>
      </c>
      <c r="C102" s="333"/>
      <c r="D102" s="333"/>
      <c r="E102" s="333"/>
      <c r="F102" s="333"/>
      <c r="G102" s="333"/>
      <c r="H102" s="21"/>
      <c r="I102" s="321"/>
      <c r="J102" s="29"/>
    </row>
    <row r="103" spans="1:10" ht="30.75" customHeight="1">
      <c r="A103" s="335"/>
      <c r="B103" s="16" t="s">
        <v>138</v>
      </c>
      <c r="C103" s="319"/>
      <c r="D103" s="319"/>
      <c r="E103" s="319"/>
      <c r="F103" s="319"/>
      <c r="G103" s="319"/>
      <c r="H103" s="67"/>
      <c r="I103" s="321"/>
      <c r="J103" s="28"/>
    </row>
    <row r="104" spans="1:10" ht="32.25" customHeight="1" thickBot="1">
      <c r="A104" s="336"/>
      <c r="B104" s="18" t="s">
        <v>139</v>
      </c>
      <c r="C104" s="369"/>
      <c r="D104" s="369"/>
      <c r="E104" s="369"/>
      <c r="F104" s="369"/>
      <c r="G104" s="369"/>
      <c r="H104" s="22"/>
      <c r="I104" s="322"/>
      <c r="J104" s="30"/>
    </row>
    <row r="105" spans="1:10" ht="15.75" customHeight="1">
      <c r="A105" s="1"/>
      <c r="B105" s="1"/>
      <c r="C105" s="106"/>
      <c r="D105" s="107"/>
      <c r="E105" s="106"/>
      <c r="F105" s="106"/>
      <c r="G105" s="106"/>
      <c r="H105" s="106"/>
      <c r="I105" s="108"/>
    </row>
    <row r="106" spans="1:10" ht="15.75" customHeight="1">
      <c r="A106" s="27"/>
      <c r="B106" s="27"/>
      <c r="C106" s="109"/>
      <c r="D106" s="110"/>
      <c r="E106" s="109"/>
      <c r="F106" s="109"/>
      <c r="G106" s="109"/>
      <c r="H106" s="109"/>
      <c r="I106" s="109"/>
    </row>
    <row r="107" spans="1:10" ht="15.75" customHeight="1" thickBot="1">
      <c r="A107" s="27"/>
      <c r="B107" s="27"/>
      <c r="C107" s="109"/>
      <c r="D107" s="110"/>
      <c r="E107" s="109"/>
      <c r="F107" s="109"/>
      <c r="G107" s="109"/>
      <c r="H107" s="109"/>
      <c r="I107" s="109"/>
    </row>
    <row r="108" spans="1:10" ht="15.75" customHeight="1" thickBot="1">
      <c r="A108" s="1"/>
      <c r="B108" s="405"/>
      <c r="C108" s="406"/>
      <c r="D108" s="8" t="s">
        <v>3</v>
      </c>
      <c r="E108" s="389" t="s">
        <v>4</v>
      </c>
      <c r="F108" s="389"/>
      <c r="G108" s="389" t="s">
        <v>5</v>
      </c>
      <c r="H108" s="416"/>
      <c r="I108" s="23"/>
    </row>
    <row r="109" spans="1:10" ht="16.5" thickBot="1">
      <c r="A109" s="1"/>
      <c r="B109" s="396" t="s">
        <v>67</v>
      </c>
      <c r="C109" s="413"/>
      <c r="D109" s="390" t="s">
        <v>265</v>
      </c>
      <c r="E109" s="357"/>
      <c r="F109" s="357"/>
      <c r="G109" s="357"/>
      <c r="H109" s="391"/>
      <c r="I109" s="23"/>
    </row>
    <row r="110" spans="1:10" ht="15.75" customHeight="1">
      <c r="A110" s="1"/>
      <c r="B110" s="407" t="s">
        <v>158</v>
      </c>
      <c r="C110" s="408"/>
      <c r="D110" s="7">
        <f>COUNT(I20:I24)*2</f>
        <v>4</v>
      </c>
      <c r="E110" s="388">
        <f>SUM(I20:I24)</f>
        <v>0</v>
      </c>
      <c r="F110" s="388"/>
      <c r="G110" s="410">
        <f>IFERROR(E110/D110,"")</f>
        <v>0</v>
      </c>
      <c r="H110" s="411"/>
      <c r="I110" s="23"/>
    </row>
    <row r="111" spans="1:10" ht="15.75">
      <c r="A111" s="1"/>
      <c r="B111" s="401" t="s">
        <v>157</v>
      </c>
      <c r="C111" s="402"/>
      <c r="D111" s="2">
        <f>COUNT(I33:I38)*2</f>
        <v>0</v>
      </c>
      <c r="E111" s="400">
        <f>SUM(I33:I38)</f>
        <v>0</v>
      </c>
      <c r="F111" s="400"/>
      <c r="G111" s="394" t="str">
        <f t="shared" ref="G111:G123" si="6">IFERROR(E111/D111,"")</f>
        <v/>
      </c>
      <c r="H111" s="395"/>
      <c r="I111" s="23"/>
    </row>
    <row r="112" spans="1:10" ht="15.75">
      <c r="A112" s="1"/>
      <c r="B112" s="403" t="s">
        <v>156</v>
      </c>
      <c r="C112" s="404"/>
      <c r="D112" s="3">
        <f>COUNT(I40:I43)*2</f>
        <v>2</v>
      </c>
      <c r="E112" s="384">
        <f>SUM(I40:I43)</f>
        <v>0</v>
      </c>
      <c r="F112" s="384"/>
      <c r="G112" s="353">
        <f t="shared" si="6"/>
        <v>0</v>
      </c>
      <c r="H112" s="354"/>
      <c r="I112" s="23"/>
    </row>
    <row r="113" spans="1:9" ht="15.75">
      <c r="A113" s="1"/>
      <c r="B113" s="401" t="s">
        <v>155</v>
      </c>
      <c r="C113" s="409"/>
      <c r="D113" s="2">
        <f>COUNT(I26:I28)*2</f>
        <v>0</v>
      </c>
      <c r="E113" s="400">
        <f>SUM(I26:I28)</f>
        <v>0</v>
      </c>
      <c r="F113" s="400"/>
      <c r="G113" s="394" t="str">
        <f t="shared" si="6"/>
        <v/>
      </c>
      <c r="H113" s="395"/>
      <c r="I113" s="23"/>
    </row>
    <row r="114" spans="1:9" ht="16.5" thickBot="1">
      <c r="A114" s="1"/>
      <c r="B114" s="403" t="s">
        <v>154</v>
      </c>
      <c r="C114" s="404"/>
      <c r="D114" s="3">
        <f>COUNT(I30:I31)*2</f>
        <v>0</v>
      </c>
      <c r="E114" s="384">
        <f>SUM(I30:I31)</f>
        <v>0</v>
      </c>
      <c r="F114" s="384"/>
      <c r="G114" s="385" t="str">
        <f t="shared" ref="G114" si="7">IFERROR(E114/D114,"")</f>
        <v/>
      </c>
      <c r="H114" s="386"/>
      <c r="I114" s="23"/>
    </row>
    <row r="115" spans="1:9" ht="16.5" thickBot="1">
      <c r="A115" s="1"/>
      <c r="B115" s="396" t="s">
        <v>159</v>
      </c>
      <c r="C115" s="413"/>
      <c r="D115" s="13">
        <f>SUBTOTAL(9,D110:D114)</f>
        <v>6</v>
      </c>
      <c r="E115" s="427">
        <f>SUBTOTAL(9,E110:F114)</f>
        <v>0</v>
      </c>
      <c r="F115" s="427"/>
      <c r="G115" s="390">
        <f t="shared" ref="G115" si="8">IFERROR(E115/D115,"")</f>
        <v>0</v>
      </c>
      <c r="H115" s="391"/>
      <c r="I115" s="23"/>
    </row>
    <row r="116" spans="1:9" ht="13.5" customHeight="1">
      <c r="A116" s="1"/>
      <c r="B116" s="401" t="str">
        <f>A45</f>
        <v>Limpieza del restaurante</v>
      </c>
      <c r="C116" s="402"/>
      <c r="D116" s="2">
        <f>COUNT(I45:I54)*2</f>
        <v>0</v>
      </c>
      <c r="E116" s="400">
        <f>SUM(I45:I54)</f>
        <v>0</v>
      </c>
      <c r="F116" s="400"/>
      <c r="G116" s="394" t="str">
        <f t="shared" si="6"/>
        <v/>
      </c>
      <c r="H116" s="395"/>
      <c r="I116" s="23"/>
    </row>
    <row r="117" spans="1:9" ht="15.75" customHeight="1">
      <c r="A117" s="1"/>
      <c r="B117" s="403" t="str">
        <f>A56</f>
        <v>Servicios para huéspedes</v>
      </c>
      <c r="C117" s="404"/>
      <c r="D117" s="3">
        <f>((COUNT(I56)*6)+(COUNT(I57:I62)*2))</f>
        <v>0</v>
      </c>
      <c r="E117" s="351">
        <f>SUM(I56:I62)</f>
        <v>0</v>
      </c>
      <c r="F117" s="352"/>
      <c r="G117" s="353" t="str">
        <f t="shared" si="6"/>
        <v/>
      </c>
      <c r="H117" s="354"/>
      <c r="I117" s="23"/>
    </row>
    <row r="118" spans="1:9" ht="15.75" customHeight="1">
      <c r="A118" s="1"/>
      <c r="B118" s="380" t="s">
        <v>60</v>
      </c>
      <c r="C118" s="381"/>
      <c r="D118" s="51">
        <f>COUNT(I64:I68)*2</f>
        <v>0</v>
      </c>
      <c r="E118" s="382">
        <f>SUM(I64:I68)</f>
        <v>0</v>
      </c>
      <c r="F118" s="383"/>
      <c r="G118" s="347" t="str">
        <f t="shared" ref="G118:G122" si="9">IFERROR(E118/D118,"")</f>
        <v/>
      </c>
      <c r="H118" s="348"/>
      <c r="I118" s="23"/>
    </row>
    <row r="119" spans="1:9" ht="15.75">
      <c r="A119" s="1"/>
      <c r="B119" s="349" t="s">
        <v>33</v>
      </c>
      <c r="C119" s="350"/>
      <c r="D119" s="3">
        <f>COUNT(I70:I73)*2</f>
        <v>0</v>
      </c>
      <c r="E119" s="351">
        <f>SUM(I70:I73)</f>
        <v>0</v>
      </c>
      <c r="F119" s="352"/>
      <c r="G119" s="353" t="str">
        <f t="shared" ref="G119" si="10">IFERROR(E119/D119,"")</f>
        <v/>
      </c>
      <c r="H119" s="354"/>
      <c r="I119" s="23"/>
    </row>
    <row r="120" spans="1:9" ht="15.75" customHeight="1">
      <c r="A120" s="1"/>
      <c r="B120" s="344" t="str">
        <f>A75</f>
        <v>Calidad del producto</v>
      </c>
      <c r="C120" s="345"/>
      <c r="D120" s="51">
        <f>COUNT(I75:I81)*2</f>
        <v>0</v>
      </c>
      <c r="E120" s="346">
        <f>SUM(I75:I81)</f>
        <v>0</v>
      </c>
      <c r="F120" s="346"/>
      <c r="G120" s="347" t="str">
        <f t="shared" si="9"/>
        <v/>
      </c>
      <c r="H120" s="348"/>
      <c r="I120" s="23"/>
    </row>
    <row r="121" spans="1:9" ht="15.75" customHeight="1">
      <c r="A121" s="1"/>
      <c r="B121" s="349" t="str">
        <f>A83</f>
        <v>Comercialización</v>
      </c>
      <c r="C121" s="350"/>
      <c r="D121" s="3">
        <f>COUNT(I83:I87)*2</f>
        <v>2</v>
      </c>
      <c r="E121" s="351">
        <f>SUM(I83:I87)</f>
        <v>0</v>
      </c>
      <c r="F121" s="352"/>
      <c r="G121" s="353">
        <f t="shared" si="9"/>
        <v>0</v>
      </c>
      <c r="H121" s="354"/>
      <c r="I121" s="23"/>
    </row>
    <row r="122" spans="1:9" ht="16.5" thickBot="1">
      <c r="A122" s="1"/>
      <c r="B122" s="355" t="str">
        <f>A89</f>
        <v>Normas de equipamiento</v>
      </c>
      <c r="C122" s="356"/>
      <c r="D122" s="51">
        <f>COUNT(I89:I96)*2</f>
        <v>0</v>
      </c>
      <c r="E122" s="346">
        <f>SUM(I89:I96)</f>
        <v>0</v>
      </c>
      <c r="F122" s="346"/>
      <c r="G122" s="347" t="str">
        <f t="shared" si="9"/>
        <v/>
      </c>
      <c r="H122" s="348"/>
      <c r="I122" s="23"/>
    </row>
    <row r="123" spans="1:9" ht="16.5" thickBot="1">
      <c r="A123" s="1"/>
      <c r="B123" s="396" t="s">
        <v>2</v>
      </c>
      <c r="C123" s="397"/>
      <c r="D123" s="13">
        <f>SUBTOTAL(9,D110:D122)</f>
        <v>8</v>
      </c>
      <c r="E123" s="398">
        <f>SUBTOTAL(9,E110:F122)</f>
        <v>0</v>
      </c>
      <c r="F123" s="399"/>
      <c r="G123" s="390">
        <f t="shared" si="6"/>
        <v>0</v>
      </c>
      <c r="H123" s="391"/>
      <c r="I123" s="23"/>
    </row>
    <row r="124" spans="1:9">
      <c r="A124" s="1"/>
      <c r="B124" s="1"/>
      <c r="C124" s="1"/>
      <c r="D124" s="1"/>
      <c r="E124" s="1"/>
      <c r="F124" s="1"/>
      <c r="G124" s="1"/>
      <c r="H124" s="1"/>
      <c r="I124" s="23"/>
    </row>
    <row r="125" spans="1:9">
      <c r="A125" s="1"/>
      <c r="B125" s="1"/>
      <c r="C125" s="1"/>
      <c r="D125" s="1"/>
      <c r="E125" s="1"/>
      <c r="F125" s="1"/>
      <c r="G125" s="1"/>
      <c r="H125" s="1"/>
      <c r="I125" s="23"/>
    </row>
    <row r="126" spans="1:9" hidden="1">
      <c r="A126" s="1"/>
      <c r="B126" s="1"/>
      <c r="C126" s="1"/>
      <c r="D126" s="1"/>
      <c r="E126" s="1"/>
      <c r="F126" s="1"/>
      <c r="G126" s="1"/>
      <c r="H126" s="1"/>
      <c r="I126" s="23"/>
    </row>
    <row r="127" spans="1:9" hidden="1">
      <c r="A127" s="1"/>
      <c r="B127" s="1"/>
      <c r="C127" s="1"/>
      <c r="D127" s="1"/>
      <c r="E127" s="1"/>
      <c r="F127" s="1"/>
      <c r="G127" s="1"/>
      <c r="H127" s="1"/>
      <c r="I127" s="23"/>
    </row>
    <row r="128" spans="1:9" hidden="1">
      <c r="A128" s="1"/>
      <c r="B128" s="1"/>
      <c r="C128" s="1"/>
      <c r="D128" s="1"/>
      <c r="E128" s="1"/>
      <c r="F128" s="1"/>
      <c r="G128" s="1"/>
      <c r="H128" s="1"/>
      <c r="I128" s="23"/>
    </row>
    <row r="129" spans="1:9" hidden="1">
      <c r="A129" s="1"/>
      <c r="B129" s="1"/>
      <c r="C129" s="1"/>
      <c r="D129" s="1"/>
      <c r="E129" s="1"/>
      <c r="F129" s="1"/>
      <c r="G129" s="1"/>
      <c r="H129" s="1"/>
      <c r="I129" s="23"/>
    </row>
    <row r="130" spans="1:9" hidden="1">
      <c r="A130" s="1"/>
      <c r="B130" s="1"/>
      <c r="C130" s="1"/>
      <c r="D130" s="1"/>
      <c r="E130" s="1"/>
      <c r="F130" s="1"/>
      <c r="G130" s="1"/>
      <c r="H130" s="1"/>
      <c r="I130" s="23"/>
    </row>
    <row r="131" spans="1:9" hidden="1">
      <c r="A131" s="1"/>
      <c r="B131" s="1"/>
      <c r="C131" s="1"/>
      <c r="D131" s="1"/>
      <c r="E131" s="1"/>
      <c r="F131" s="1"/>
      <c r="G131" s="1"/>
      <c r="H131" s="1"/>
      <c r="I131" s="23"/>
    </row>
    <row r="132" spans="1:9" hidden="1">
      <c r="A132" s="1"/>
      <c r="B132" s="1"/>
      <c r="C132" s="1"/>
      <c r="D132" s="1"/>
      <c r="E132" s="1"/>
      <c r="F132" s="1"/>
      <c r="G132" s="1"/>
      <c r="H132" s="1"/>
      <c r="I132" s="23"/>
    </row>
    <row r="133" spans="1:9" hidden="1">
      <c r="A133" s="1"/>
      <c r="B133" s="1"/>
      <c r="C133" s="1"/>
      <c r="D133" s="1"/>
      <c r="E133" s="1"/>
      <c r="F133" s="1"/>
      <c r="G133" s="1"/>
      <c r="H133" s="1"/>
      <c r="I133" s="23"/>
    </row>
    <row r="134" spans="1:9" hidden="1">
      <c r="A134" s="1"/>
      <c r="B134" s="1"/>
      <c r="C134" s="1"/>
      <c r="D134" s="1"/>
      <c r="E134" s="1"/>
      <c r="F134" s="1"/>
      <c r="G134" s="1"/>
      <c r="H134" s="1"/>
      <c r="I134" s="23"/>
    </row>
    <row r="135" spans="1:9" hidden="1">
      <c r="A135" s="1"/>
      <c r="B135" s="1"/>
      <c r="C135" s="1"/>
      <c r="D135" s="1"/>
      <c r="E135" s="1"/>
      <c r="F135" s="1"/>
      <c r="G135" s="1"/>
      <c r="H135" s="1"/>
      <c r="I135" s="23"/>
    </row>
    <row r="136" spans="1:9" hidden="1">
      <c r="A136" s="1"/>
      <c r="B136" s="1"/>
      <c r="C136" s="1"/>
      <c r="D136" s="1"/>
      <c r="E136" s="1"/>
      <c r="F136" s="1"/>
      <c r="G136" s="1"/>
      <c r="H136" s="1"/>
      <c r="I136" s="23"/>
    </row>
    <row r="137" spans="1:9" hidden="1">
      <c r="A137" s="1"/>
      <c r="B137" s="1"/>
      <c r="C137" s="1"/>
      <c r="D137" s="1"/>
      <c r="E137" s="1"/>
      <c r="F137" s="1"/>
      <c r="G137" s="1"/>
      <c r="H137" s="1"/>
      <c r="I137" s="23"/>
    </row>
    <row r="138" spans="1:9" hidden="1">
      <c r="A138" s="1"/>
      <c r="B138" s="1"/>
      <c r="C138" s="1"/>
      <c r="D138" s="1"/>
      <c r="E138" s="1"/>
      <c r="F138" s="1"/>
      <c r="G138" s="1"/>
      <c r="H138" s="1"/>
      <c r="I138" s="23"/>
    </row>
    <row r="139" spans="1:9" hidden="1">
      <c r="A139" s="1"/>
      <c r="B139" s="1"/>
      <c r="C139" s="1"/>
      <c r="D139" s="1"/>
      <c r="E139" s="1"/>
      <c r="F139" s="1"/>
      <c r="G139" s="1"/>
      <c r="H139" s="1"/>
      <c r="I139" s="23"/>
    </row>
    <row r="140" spans="1:9" hidden="1">
      <c r="A140" s="1"/>
      <c r="B140" s="1"/>
      <c r="C140" s="1"/>
      <c r="D140" s="1"/>
      <c r="E140" s="1"/>
      <c r="F140" s="1"/>
      <c r="G140" s="1"/>
      <c r="H140" s="1"/>
      <c r="I140" s="23"/>
    </row>
    <row r="141" spans="1:9" hidden="1">
      <c r="A141" s="1"/>
      <c r="B141" s="1"/>
      <c r="C141" s="1"/>
      <c r="D141" s="1"/>
      <c r="E141" s="1"/>
      <c r="F141" s="1"/>
      <c r="G141" s="1"/>
      <c r="H141" s="1"/>
      <c r="I141" s="23"/>
    </row>
    <row r="142" spans="1:9" hidden="1">
      <c r="A142" s="1"/>
      <c r="B142" s="1"/>
      <c r="C142" s="1"/>
      <c r="D142" s="1"/>
      <c r="E142" s="1"/>
      <c r="F142" s="1"/>
      <c r="G142" s="1"/>
      <c r="H142" s="1"/>
      <c r="I142" s="23"/>
    </row>
    <row r="143" spans="1:9" hidden="1">
      <c r="A143" s="1"/>
      <c r="B143" s="1"/>
      <c r="C143" s="1"/>
      <c r="D143" s="1"/>
      <c r="E143" s="1"/>
      <c r="F143" s="1"/>
      <c r="G143" s="1"/>
      <c r="H143" s="1"/>
      <c r="I143" s="23"/>
    </row>
    <row r="144" spans="1:9" hidden="1">
      <c r="A144" s="1"/>
      <c r="B144" s="1"/>
      <c r="C144" s="1"/>
      <c r="D144" s="1"/>
      <c r="E144" s="1"/>
      <c r="F144" s="1"/>
      <c r="G144" s="1"/>
      <c r="H144" s="1"/>
      <c r="I144" s="23"/>
    </row>
    <row r="145" spans="1:9" hidden="1">
      <c r="A145" s="1"/>
      <c r="B145" s="1"/>
      <c r="C145" s="1"/>
      <c r="D145" s="1"/>
      <c r="E145" s="1"/>
      <c r="F145" s="1"/>
      <c r="G145" s="1"/>
      <c r="H145" s="1"/>
      <c r="I145" s="23"/>
    </row>
    <row r="146" spans="1:9" hidden="1">
      <c r="A146" s="1"/>
      <c r="B146" s="1"/>
      <c r="C146" s="1"/>
      <c r="D146" s="1"/>
      <c r="E146" s="1"/>
      <c r="F146" s="1"/>
      <c r="G146" s="1"/>
      <c r="H146" s="1"/>
      <c r="I146" s="23"/>
    </row>
    <row r="147" spans="1:9" hidden="1">
      <c r="A147" s="1"/>
      <c r="B147" s="1"/>
      <c r="C147" s="1"/>
      <c r="D147" s="1"/>
      <c r="E147" s="1"/>
      <c r="F147" s="1"/>
      <c r="G147" s="1"/>
      <c r="H147" s="1"/>
      <c r="I147" s="23"/>
    </row>
    <row r="148" spans="1:9" hidden="1">
      <c r="A148" s="1"/>
      <c r="B148" s="1"/>
      <c r="C148" s="1"/>
      <c r="D148" s="1"/>
      <c r="E148" s="1"/>
      <c r="F148" s="1"/>
      <c r="G148" s="1"/>
      <c r="H148" s="1"/>
      <c r="I148" s="23"/>
    </row>
    <row r="149" spans="1:9" hidden="1">
      <c r="A149" s="1"/>
      <c r="B149" s="1"/>
      <c r="C149" s="1"/>
      <c r="D149" s="1"/>
      <c r="E149" s="1"/>
      <c r="F149" s="1"/>
      <c r="G149" s="1"/>
      <c r="H149" s="1"/>
      <c r="I149" s="23"/>
    </row>
    <row r="150" spans="1:9" hidden="1">
      <c r="A150" s="1"/>
      <c r="B150" s="1"/>
      <c r="C150" s="1"/>
      <c r="D150" s="1"/>
      <c r="E150" s="1"/>
      <c r="F150" s="1"/>
      <c r="G150" s="1"/>
      <c r="H150" s="1"/>
      <c r="I150" s="23"/>
    </row>
    <row r="151" spans="1:9" hidden="1">
      <c r="B151" s="1"/>
      <c r="C151" s="1"/>
      <c r="D151" s="1"/>
      <c r="E151" s="1"/>
      <c r="F151" s="1"/>
      <c r="G151" s="1"/>
      <c r="H151" s="1"/>
    </row>
    <row r="206"/>
    <row r="207"/>
    <row r="208"/>
    <row r="209"/>
  </sheetData>
  <mergeCells count="149">
    <mergeCell ref="B119:C119"/>
    <mergeCell ref="B115:C115"/>
    <mergeCell ref="E115:F115"/>
    <mergeCell ref="G115:H115"/>
    <mergeCell ref="C33:G33"/>
    <mergeCell ref="C36:G36"/>
    <mergeCell ref="C38:G38"/>
    <mergeCell ref="C52:G52"/>
    <mergeCell ref="C49:G49"/>
    <mergeCell ref="C41:G41"/>
    <mergeCell ref="C103:G103"/>
    <mergeCell ref="C104:G104"/>
    <mergeCell ref="C67:G67"/>
    <mergeCell ref="C86:G86"/>
    <mergeCell ref="C53:G53"/>
    <mergeCell ref="C37:G37"/>
    <mergeCell ref="E111:F111"/>
    <mergeCell ref="E112:F112"/>
    <mergeCell ref="E113:F113"/>
    <mergeCell ref="C58:G58"/>
    <mergeCell ref="C45:G45"/>
    <mergeCell ref="G113:H113"/>
    <mergeCell ref="B114:C114"/>
    <mergeCell ref="C71:G71"/>
    <mergeCell ref="C28:G28"/>
    <mergeCell ref="B109:C109"/>
    <mergeCell ref="A8:B8"/>
    <mergeCell ref="F8:G8"/>
    <mergeCell ref="C59:G59"/>
    <mergeCell ref="C60:G60"/>
    <mergeCell ref="C62:G62"/>
    <mergeCell ref="C23:G23"/>
    <mergeCell ref="C42:G42"/>
    <mergeCell ref="C26:G26"/>
    <mergeCell ref="G108:H108"/>
    <mergeCell ref="C50:G50"/>
    <mergeCell ref="C51:G51"/>
    <mergeCell ref="C12:G12"/>
    <mergeCell ref="C13:G13"/>
    <mergeCell ref="C14:G14"/>
    <mergeCell ref="C48:G48"/>
    <mergeCell ref="C54:G54"/>
    <mergeCell ref="C56:G56"/>
    <mergeCell ref="C27:G27"/>
    <mergeCell ref="C95:G95"/>
    <mergeCell ref="C35:G35"/>
    <mergeCell ref="C93:G93"/>
    <mergeCell ref="C31:G31"/>
    <mergeCell ref="B123:C123"/>
    <mergeCell ref="C40:G40"/>
    <mergeCell ref="G123:H123"/>
    <mergeCell ref="G116:H116"/>
    <mergeCell ref="G117:H117"/>
    <mergeCell ref="E123:F123"/>
    <mergeCell ref="E116:F116"/>
    <mergeCell ref="E117:F117"/>
    <mergeCell ref="C46:G46"/>
    <mergeCell ref="C47:G47"/>
    <mergeCell ref="C83:G83"/>
    <mergeCell ref="C87:G87"/>
    <mergeCell ref="E119:F119"/>
    <mergeCell ref="G119:H119"/>
    <mergeCell ref="B116:C116"/>
    <mergeCell ref="B117:C117"/>
    <mergeCell ref="B108:C108"/>
    <mergeCell ref="B110:C110"/>
    <mergeCell ref="B111:C111"/>
    <mergeCell ref="B112:C112"/>
    <mergeCell ref="B113:C113"/>
    <mergeCell ref="G118:H118"/>
    <mergeCell ref="G110:H110"/>
    <mergeCell ref="G112:H112"/>
    <mergeCell ref="B118:C118"/>
    <mergeCell ref="E118:F118"/>
    <mergeCell ref="A75:A81"/>
    <mergeCell ref="C75:G75"/>
    <mergeCell ref="C99:G99"/>
    <mergeCell ref="C100:G100"/>
    <mergeCell ref="C101:G101"/>
    <mergeCell ref="C102:G102"/>
    <mergeCell ref="E114:F114"/>
    <mergeCell ref="G114:H114"/>
    <mergeCell ref="C94:G94"/>
    <mergeCell ref="C96:G96"/>
    <mergeCell ref="C98:G98"/>
    <mergeCell ref="C89:G89"/>
    <mergeCell ref="E110:F110"/>
    <mergeCell ref="E108:F108"/>
    <mergeCell ref="D109:H109"/>
    <mergeCell ref="C80:G80"/>
    <mergeCell ref="C81:G81"/>
    <mergeCell ref="G111:H111"/>
    <mergeCell ref="H8:I8"/>
    <mergeCell ref="A56:A62"/>
    <mergeCell ref="A45:A54"/>
    <mergeCell ref="A10:A18"/>
    <mergeCell ref="A20:A24"/>
    <mergeCell ref="C21:G21"/>
    <mergeCell ref="C22:G22"/>
    <mergeCell ref="C24:G24"/>
    <mergeCell ref="C15:G15"/>
    <mergeCell ref="C16:G16"/>
    <mergeCell ref="C17:G17"/>
    <mergeCell ref="C18:G18"/>
    <mergeCell ref="C20:G20"/>
    <mergeCell ref="C57:G57"/>
    <mergeCell ref="C61:G61"/>
    <mergeCell ref="C10:G10"/>
    <mergeCell ref="C11:G11"/>
    <mergeCell ref="C30:G30"/>
    <mergeCell ref="A26:A28"/>
    <mergeCell ref="A29:K29"/>
    <mergeCell ref="A30:A31"/>
    <mergeCell ref="A32:J32"/>
    <mergeCell ref="A33:A38"/>
    <mergeCell ref="C34:G34"/>
    <mergeCell ref="B120:C120"/>
    <mergeCell ref="E120:F120"/>
    <mergeCell ref="G120:H120"/>
    <mergeCell ref="B121:C121"/>
    <mergeCell ref="E121:F121"/>
    <mergeCell ref="G121:H121"/>
    <mergeCell ref="B122:C122"/>
    <mergeCell ref="E122:F122"/>
    <mergeCell ref="G122:H122"/>
    <mergeCell ref="A40:A43"/>
    <mergeCell ref="C43:G43"/>
    <mergeCell ref="I98:I104"/>
    <mergeCell ref="C85:G85"/>
    <mergeCell ref="C84:G84"/>
    <mergeCell ref="A64:A68"/>
    <mergeCell ref="C64:G64"/>
    <mergeCell ref="C66:G66"/>
    <mergeCell ref="C90:G90"/>
    <mergeCell ref="C91:G91"/>
    <mergeCell ref="C92:G92"/>
    <mergeCell ref="A98:A104"/>
    <mergeCell ref="A83:A87"/>
    <mergeCell ref="A89:A96"/>
    <mergeCell ref="C76:G76"/>
    <mergeCell ref="C77:G77"/>
    <mergeCell ref="C78:G78"/>
    <mergeCell ref="C79:G79"/>
    <mergeCell ref="A70:A73"/>
    <mergeCell ref="C65:G65"/>
    <mergeCell ref="C70:G70"/>
    <mergeCell ref="C73:G73"/>
    <mergeCell ref="C68:G68"/>
    <mergeCell ref="C72:G72"/>
  </mergeCells>
  <conditionalFormatting sqref="D109">
    <cfRule type="containsText" dxfId="340" priority="75" operator="containsText" text="FAIL -">
      <formula>NOT(ISERROR(SEARCH("FAIL -",D109)))</formula>
    </cfRule>
  </conditionalFormatting>
  <conditionalFormatting sqref="D109:H109">
    <cfRule type="containsText" dxfId="339" priority="8" operator="containsText" text="PASS">
      <formula>NOT(ISERROR(SEARCH("PASS",D109)))</formula>
    </cfRule>
    <cfRule type="containsText" dxfId="338" priority="9" operator="containsText" text="FAIL - ">
      <formula>NOT(ISERROR(SEARCH("FAIL - ",D109)))</formula>
    </cfRule>
  </conditionalFormatting>
  <conditionalFormatting sqref="G117:G119">
    <cfRule type="expression" dxfId="337" priority="32">
      <formula>$G117&lt;=0.85</formula>
    </cfRule>
  </conditionalFormatting>
  <conditionalFormatting sqref="G121">
    <cfRule type="expression" dxfId="336" priority="14">
      <formula>$G121&lt;=0.85</formula>
    </cfRule>
  </conditionalFormatting>
  <conditionalFormatting sqref="G110:H116">
    <cfRule type="expression" dxfId="335" priority="13">
      <formula>$G110&lt;=0.85</formula>
    </cfRule>
  </conditionalFormatting>
  <conditionalFormatting sqref="G120:H120">
    <cfRule type="expression" dxfId="334" priority="33">
      <formula>$G120&lt;=0.85</formula>
    </cfRule>
  </conditionalFormatting>
  <conditionalFormatting sqref="G122:H123">
    <cfRule type="expression" dxfId="333" priority="70">
      <formula>$G122&lt;=0.85</formula>
    </cfRule>
  </conditionalFormatting>
  <conditionalFormatting sqref="H8">
    <cfRule type="expression" dxfId="332" priority="74">
      <formula>AND($C$8&gt;0,$H$8&lt;=0.85)</formula>
    </cfRule>
  </conditionalFormatting>
  <conditionalFormatting sqref="H10:H18">
    <cfRule type="expression" dxfId="331" priority="25">
      <formula>$H10="Cured in the moment"</formula>
    </cfRule>
    <cfRule type="expression" dxfId="330" priority="69">
      <formula>$H10="No"</formula>
    </cfRule>
  </conditionalFormatting>
  <conditionalFormatting sqref="H20:I24 H30:I31 H56:I62 H70:I73 H75:I81">
    <cfRule type="expression" dxfId="329" priority="34">
      <formula>$H20="Not functioning"</formula>
    </cfRule>
  </conditionalFormatting>
  <conditionalFormatting sqref="H26:I28 H33:I38">
    <cfRule type="expression" dxfId="328" priority="5">
      <formula>$H26="Not functioning"</formula>
    </cfRule>
  </conditionalFormatting>
  <conditionalFormatting sqref="H40:I43">
    <cfRule type="expression" dxfId="327" priority="1">
      <formula>$H40="Not functioning"</formula>
    </cfRule>
  </conditionalFormatting>
  <conditionalFormatting sqref="H45:I54">
    <cfRule type="expression" dxfId="326" priority="10">
      <formula>$H45="Not functioning"</formula>
    </cfRule>
  </conditionalFormatting>
  <conditionalFormatting sqref="H64:I68">
    <cfRule type="expression" dxfId="325" priority="12">
      <formula>$H64="Not functioning"</formula>
    </cfRule>
  </conditionalFormatting>
  <conditionalFormatting sqref="H83:I87">
    <cfRule type="expression" dxfId="324" priority="11">
      <formula>$H83="Not functioning"</formula>
    </cfRule>
  </conditionalFormatting>
  <conditionalFormatting sqref="H89:I96">
    <cfRule type="expression" dxfId="323" priority="26">
      <formula>$H89="Not functioning"</formula>
    </cfRule>
  </conditionalFormatting>
  <conditionalFormatting sqref="H98:I98 H99:H104">
    <cfRule type="expression" dxfId="322" priority="27">
      <formula>$H98="Not functioning"</formula>
    </cfRule>
  </conditionalFormatting>
  <conditionalFormatting sqref="I10:I18">
    <cfRule type="expression" dxfId="321" priority="6">
      <formula>$H10="Cured in the moment"</formula>
    </cfRule>
    <cfRule type="expression" dxfId="320" priority="7">
      <formula>$H10="No"</formula>
    </cfRule>
  </conditionalFormatting>
  <dataValidations count="3">
    <dataValidation type="list" allowBlank="1" showInputMessage="1" showErrorMessage="1" sqref="H10:H18" xr:uid="{00000000-0002-0000-0000-000000000000}">
      <formula1>"Yes,No,Cured in the Moment"</formula1>
    </dataValidation>
    <dataValidation type="list" allowBlank="1" showInputMessage="1" showErrorMessage="1" sqref="H99:H104 H45:H54 H33:H43 H83:H87 H56:H62 H20:H24 H70:H73 H75:H81 H64:H68 H89:H96 H30:H31 H26:H28" xr:uid="{00000000-0002-0000-0000-000001000000}">
      <formula1>"Yes,No,N/A"</formula1>
    </dataValidation>
    <dataValidation type="list" allowBlank="1" showInputMessage="1" showErrorMessage="1" sqref="H98" xr:uid="{00000000-0002-0000-0000-000002000000}">
      <formula1>"Yes,No"</formula1>
    </dataValidation>
  </dataValidations>
  <pageMargins left="0.25" right="0.25" top="0.75" bottom="0.75" header="0.3" footer="0.3"/>
  <pageSetup scale="76" fitToHeight="0" orientation="landscape" horizontalDpi="1200" verticalDpi="1200" r:id="rId1"/>
  <headerFooter>
    <oddHeader>&amp;L&amp;G&amp;C&amp;"+,Bold"&amp;14BR ROR 12Q4</oddHeader>
    <oddFooter>&amp;L&amp;D &amp;T&amp;C&amp;F&amp;R&amp;P of &amp;N</oddFooter>
  </headerFooter>
  <rowBreaks count="6" manualBreakCount="6">
    <brk id="25" max="10" man="1"/>
    <brk id="55" max="10" man="1"/>
    <brk id="74" max="10" man="1"/>
    <brk id="88" max="10" man="1"/>
    <brk id="106" max="10" man="1"/>
    <brk id="125" max="10"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6" r:id="rId5" name="Button 2">
              <controlPr defaultSize="0" print="0" autoFill="0" autoPict="0" macro="[0]!ClearForm">
                <anchor moveWithCells="1" sizeWithCells="1">
                  <from>
                    <xdr:col>9</xdr:col>
                    <xdr:colOff>828675</xdr:colOff>
                    <xdr:row>0</xdr:row>
                    <xdr:rowOff>114300</xdr:rowOff>
                  </from>
                  <to>
                    <xdr:col>9</xdr:col>
                    <xdr:colOff>3286125</xdr:colOff>
                    <xdr:row>1</xdr:row>
                    <xdr:rowOff>114300</xdr:rowOff>
                  </to>
                </anchor>
              </controlPr>
            </control>
          </mc:Choice>
        </mc:AlternateContent>
        <mc:AlternateContent xmlns:mc="http://schemas.openxmlformats.org/markup-compatibility/2006">
          <mc:Choice Requires="x14">
            <control shapeId="1027" r:id="rId6" name="Button 3">
              <controlPr defaultSize="0" print="0" autoFill="0" autoPict="0" macro="[0]!GetInfoFromFile">
                <anchor moveWithCells="1" sizeWithCells="1">
                  <from>
                    <xdr:col>9</xdr:col>
                    <xdr:colOff>828675</xdr:colOff>
                    <xdr:row>2</xdr:row>
                    <xdr:rowOff>0</xdr:rowOff>
                  </from>
                  <to>
                    <xdr:col>9</xdr:col>
                    <xdr:colOff>3286125</xdr:colOff>
                    <xdr:row>4</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C8" sqref="C7:C8"/>
    </sheetView>
  </sheetViews>
  <sheetFormatPr baseColWidth="10" defaultColWidth="8.85546875" defaultRowHeight="15"/>
  <cols>
    <col min="1" max="1" width="12.42578125" bestFit="1" customWidth="1"/>
    <col min="2" max="2" width="11" bestFit="1" customWidth="1"/>
  </cols>
  <sheetData>
    <row r="1" spans="1:2" ht="15.75" thickBot="1">
      <c r="A1" s="99" t="s">
        <v>173</v>
      </c>
      <c r="B1" s="100" t="s">
        <v>5</v>
      </c>
    </row>
    <row r="2" spans="1:2">
      <c r="A2" s="102">
        <v>0</v>
      </c>
      <c r="B2" s="102">
        <v>100</v>
      </c>
    </row>
    <row r="3" spans="1:2">
      <c r="A3" s="101">
        <v>1</v>
      </c>
      <c r="B3" s="101">
        <v>80</v>
      </c>
    </row>
    <row r="4" spans="1:2">
      <c r="A4" s="101">
        <v>2</v>
      </c>
      <c r="B4" s="101">
        <v>60</v>
      </c>
    </row>
    <row r="5" spans="1:2">
      <c r="A5" s="101">
        <v>3</v>
      </c>
      <c r="B5" s="101">
        <v>40</v>
      </c>
    </row>
    <row r="6" spans="1:2">
      <c r="A6" s="101">
        <v>4</v>
      </c>
      <c r="B6" s="101">
        <v>20</v>
      </c>
    </row>
    <row r="7" spans="1:2">
      <c r="A7" s="101">
        <v>5</v>
      </c>
      <c r="B7" s="10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B1:BF56"/>
  <sheetViews>
    <sheetView showGridLines="0" topLeftCell="B1" zoomScale="60" zoomScaleNormal="60" workbookViewId="0">
      <selection activeCell="C4" sqref="C4:D4"/>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9.5703125" style="124" bestFit="1"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42" customHeight="1" thickBot="1">
      <c r="B3" s="210" t="s">
        <v>208</v>
      </c>
      <c r="C3" s="507" t="s">
        <v>319</v>
      </c>
      <c r="D3" s="508"/>
      <c r="E3" s="161"/>
      <c r="G3" s="220"/>
      <c r="H3" s="220"/>
      <c r="I3" s="220"/>
      <c r="J3" s="220"/>
    </row>
    <row r="4" spans="2:55" ht="76.5" customHeight="1" thickBot="1">
      <c r="B4" s="211" t="s">
        <v>275</v>
      </c>
      <c r="C4" s="509" t="s">
        <v>356</v>
      </c>
      <c r="D4" s="510"/>
      <c r="E4" s="150"/>
      <c r="G4" s="186" t="s">
        <v>11</v>
      </c>
      <c r="H4" s="511" t="str">
        <f>IF(COUNTIF(BB6,"0")&gt;0,"PASA","NO PASA")</f>
        <v>PASA</v>
      </c>
      <c r="I4" s="512"/>
      <c r="J4" s="513"/>
      <c r="BA4" s="221" t="s">
        <v>174</v>
      </c>
      <c r="BB4" s="123">
        <f>COUNTIF(E17:F23,BA4)</f>
        <v>0</v>
      </c>
      <c r="BC4" s="225" t="s">
        <v>262</v>
      </c>
    </row>
    <row r="5" spans="2:55" ht="40.5" customHeight="1" thickBot="1">
      <c r="B5" s="236" t="s">
        <v>203</v>
      </c>
      <c r="C5" s="514">
        <v>46272</v>
      </c>
      <c r="D5" s="515"/>
      <c r="G5" s="228" t="s">
        <v>198</v>
      </c>
      <c r="H5" s="185" t="s">
        <v>3</v>
      </c>
      <c r="I5" s="229" t="s">
        <v>4</v>
      </c>
      <c r="J5" s="230" t="s">
        <v>5</v>
      </c>
      <c r="BC5" s="225"/>
    </row>
    <row r="6" spans="2:55" ht="48" customHeight="1" thickBot="1">
      <c r="C6" s="122"/>
      <c r="E6" s="128"/>
      <c r="G6" s="187" t="s">
        <v>254</v>
      </c>
      <c r="H6" s="160">
        <v>31</v>
      </c>
      <c r="I6" s="160">
        <f>SUM(F25:F31)</f>
        <v>31</v>
      </c>
      <c r="J6" s="167">
        <f t="shared" ref="J6:J9" si="0">I6/H6</f>
        <v>1</v>
      </c>
      <c r="BA6" s="221" t="s">
        <v>193</v>
      </c>
      <c r="BB6" s="123">
        <f>COUNTIF(E17:F23,BA6)</f>
        <v>0</v>
      </c>
      <c r="BC6" s="225" t="s">
        <v>263</v>
      </c>
    </row>
    <row r="7" spans="2:55" ht="48" customHeight="1" thickBot="1">
      <c r="B7" s="438" t="s">
        <v>243</v>
      </c>
      <c r="C7" s="516" t="s">
        <v>252</v>
      </c>
      <c r="D7" s="517"/>
      <c r="E7" s="164"/>
      <c r="G7" s="168" t="s">
        <v>199</v>
      </c>
      <c r="H7" s="169">
        <v>18</v>
      </c>
      <c r="I7" s="169">
        <f>SUM(F32:F35)</f>
        <v>18</v>
      </c>
      <c r="J7" s="170">
        <f t="shared" si="0"/>
        <v>1</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19</v>
      </c>
      <c r="J9" s="170">
        <f t="shared" si="0"/>
        <v>1</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5</v>
      </c>
      <c r="J11" s="170">
        <f t="shared" ref="J11:J12" si="1">I11/H11</f>
        <v>1</v>
      </c>
    </row>
    <row r="12" spans="2:55" ht="72.75" customHeight="1" thickBot="1">
      <c r="B12" s="219" t="s">
        <v>244</v>
      </c>
      <c r="C12" s="524" t="s">
        <v>246</v>
      </c>
      <c r="D12" s="525"/>
      <c r="E12" s="166"/>
      <c r="G12" s="198" t="s">
        <v>271</v>
      </c>
      <c r="H12" s="199">
        <f>SUM(H6:H11)</f>
        <v>117</v>
      </c>
      <c r="I12" s="199">
        <f>SUM(I6:I11)</f>
        <v>117</v>
      </c>
      <c r="J12" s="200">
        <f t="shared" si="1"/>
        <v>1</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1</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G20" s="435"/>
      <c r="H20" s="436"/>
      <c r="I20" s="436"/>
      <c r="J20" s="436"/>
      <c r="K20" s="437"/>
      <c r="V20" s="122"/>
      <c r="AY20" s="172" t="str">
        <f t="shared" si="2"/>
        <v>Yes</v>
      </c>
      <c r="BA20" s="222"/>
      <c r="BB20" s="122"/>
      <c r="BC20" s="122"/>
    </row>
    <row r="21" spans="2:58" s="172" customFormat="1" ht="45.95" customHeight="1">
      <c r="B21" s="439"/>
      <c r="C21" s="214">
        <v>5</v>
      </c>
      <c r="D21" s="215" t="s">
        <v>213</v>
      </c>
      <c r="E21" s="496" t="s">
        <v>266</v>
      </c>
      <c r="F21" s="497"/>
      <c r="G21" s="493"/>
      <c r="H21" s="494"/>
      <c r="I21" s="494"/>
      <c r="J21" s="494"/>
      <c r="K21" s="495"/>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c r="H24" s="478"/>
      <c r="I24" s="478"/>
      <c r="J24" s="478"/>
      <c r="K24" s="479"/>
    </row>
    <row r="25" spans="2:58" ht="63.75" customHeight="1">
      <c r="B25" s="439" t="s">
        <v>254</v>
      </c>
      <c r="C25" s="174">
        <v>1</v>
      </c>
      <c r="D25" s="191" t="s">
        <v>259</v>
      </c>
      <c r="E25" s="175" t="s">
        <v>266</v>
      </c>
      <c r="F25" s="176">
        <f>IF(E25="Yes",5,0)</f>
        <v>5</v>
      </c>
      <c r="G25" s="480"/>
      <c r="H25" s="481"/>
      <c r="I25" s="481"/>
      <c r="J25" s="481"/>
      <c r="K25" s="482"/>
    </row>
    <row r="26" spans="2:58" ht="45.95" customHeight="1">
      <c r="B26" s="439"/>
      <c r="C26" s="127">
        <v>2</v>
      </c>
      <c r="D26" s="192" t="s">
        <v>219</v>
      </c>
      <c r="E26" s="140" t="s">
        <v>266</v>
      </c>
      <c r="F26" s="135">
        <f>IF(E26="Yes",5,0)</f>
        <v>5</v>
      </c>
      <c r="G26" s="453"/>
      <c r="H26" s="454"/>
      <c r="I26" s="454"/>
      <c r="J26" s="454"/>
      <c r="K26" s="455"/>
    </row>
    <row r="27" spans="2:58" ht="45.95" customHeight="1">
      <c r="B27" s="439"/>
      <c r="C27" s="143">
        <v>3</v>
      </c>
      <c r="D27" s="193" t="s">
        <v>216</v>
      </c>
      <c r="E27" s="177" t="s">
        <v>266</v>
      </c>
      <c r="F27" s="178">
        <f>IF(E27="Yes",5,0)</f>
        <v>5</v>
      </c>
      <c r="G27" s="444"/>
      <c r="H27" s="445"/>
      <c r="I27" s="445"/>
      <c r="J27" s="445"/>
      <c r="K27" s="446"/>
    </row>
    <row r="28" spans="2:58" ht="51.75" customHeight="1">
      <c r="B28" s="439"/>
      <c r="C28" s="127">
        <v>4</v>
      </c>
      <c r="D28" s="192" t="s">
        <v>217</v>
      </c>
      <c r="E28" s="140" t="s">
        <v>266</v>
      </c>
      <c r="F28" s="135">
        <f t="shared" ref="F28:F32" si="3">IF(E28="Yes",1,0)</f>
        <v>1</v>
      </c>
      <c r="G28" s="453"/>
      <c r="H28" s="454"/>
      <c r="I28" s="454"/>
      <c r="J28" s="454"/>
      <c r="K28" s="455"/>
    </row>
    <row r="29" spans="2:58" ht="50.25" customHeight="1">
      <c r="B29" s="439"/>
      <c r="C29" s="151">
        <v>5</v>
      </c>
      <c r="D29" s="193" t="s">
        <v>218</v>
      </c>
      <c r="E29" s="177" t="s">
        <v>266</v>
      </c>
      <c r="F29" s="178">
        <f t="shared" si="3"/>
        <v>1</v>
      </c>
      <c r="G29" s="465"/>
      <c r="H29" s="466"/>
      <c r="I29" s="466"/>
      <c r="J29" s="466"/>
      <c r="K29" s="467"/>
    </row>
    <row r="30" spans="2:58" ht="47.25" customHeight="1">
      <c r="B30" s="439"/>
      <c r="C30" s="131">
        <v>6</v>
      </c>
      <c r="D30" s="192" t="s">
        <v>220</v>
      </c>
      <c r="E30" s="140" t="s">
        <v>266</v>
      </c>
      <c r="F30" s="135">
        <f>IF(E30="Yes",7,0)</f>
        <v>7</v>
      </c>
      <c r="G30" s="483"/>
      <c r="H30" s="484"/>
      <c r="I30" s="484"/>
      <c r="J30" s="484"/>
      <c r="K30" s="485"/>
    </row>
    <row r="31" spans="2:58" ht="48.75" customHeight="1" thickBot="1">
      <c r="B31" s="440"/>
      <c r="C31" s="158">
        <v>7</v>
      </c>
      <c r="D31" s="194" t="s">
        <v>221</v>
      </c>
      <c r="E31" s="179" t="s">
        <v>266</v>
      </c>
      <c r="F31" s="180">
        <f>IF(E31="Yes",7,0)</f>
        <v>7</v>
      </c>
      <c r="G31" s="444"/>
      <c r="H31" s="445"/>
      <c r="I31" s="445"/>
      <c r="J31" s="445"/>
      <c r="K31" s="446"/>
    </row>
    <row r="32" spans="2:58" ht="48.75" customHeight="1">
      <c r="B32" s="438" t="s">
        <v>257</v>
      </c>
      <c r="C32" s="227">
        <v>1</v>
      </c>
      <c r="D32" s="206" t="s">
        <v>222</v>
      </c>
      <c r="E32" s="181" t="s">
        <v>266</v>
      </c>
      <c r="F32" s="182">
        <f t="shared" si="3"/>
        <v>1</v>
      </c>
      <c r="G32" s="456"/>
      <c r="H32" s="457"/>
      <c r="I32" s="457"/>
      <c r="J32" s="457"/>
      <c r="K32" s="458"/>
    </row>
    <row r="33" spans="2:11" ht="45.95" customHeight="1">
      <c r="B33" s="439"/>
      <c r="C33" s="143">
        <v>2</v>
      </c>
      <c r="D33" s="203" t="s">
        <v>223</v>
      </c>
      <c r="E33" s="177" t="s">
        <v>266</v>
      </c>
      <c r="F33" s="178">
        <f>IF(E33="Yes",5,0)</f>
        <v>5</v>
      </c>
      <c r="G33" s="444"/>
      <c r="H33" s="445"/>
      <c r="I33" s="445"/>
      <c r="J33" s="445"/>
      <c r="K33" s="446"/>
    </row>
    <row r="34" spans="2:11" ht="45.95" customHeight="1">
      <c r="B34" s="439"/>
      <c r="C34" s="131">
        <v>3</v>
      </c>
      <c r="D34" s="202" t="s">
        <v>224</v>
      </c>
      <c r="E34" s="140" t="s">
        <v>266</v>
      </c>
      <c r="F34" s="135">
        <f>IF(E34="Yes",5,0)</f>
        <v>5</v>
      </c>
      <c r="G34" s="453"/>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465"/>
      <c r="H37" s="466"/>
      <c r="I37" s="466"/>
      <c r="J37" s="466"/>
      <c r="K37" s="467"/>
    </row>
    <row r="38" spans="2:11" ht="50.25"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315</v>
      </c>
      <c r="F39" s="178">
        <f>IF(OR(E39="Yes",E39="NA"),7,0)</f>
        <v>7</v>
      </c>
      <c r="G39" s="465"/>
      <c r="H39" s="466"/>
      <c r="I39" s="466"/>
      <c r="J39" s="466"/>
      <c r="K39" s="46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462"/>
      <c r="H41" s="463"/>
      <c r="I41" s="463"/>
      <c r="J41" s="463"/>
      <c r="K41" s="464"/>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266</v>
      </c>
      <c r="F44" s="135">
        <f>IF(E44="Yes",1,0)</f>
        <v>1</v>
      </c>
      <c r="G44" s="453"/>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266</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266</v>
      </c>
      <c r="F53" s="190">
        <f>IF(E53="Yes",1,0)</f>
        <v>1</v>
      </c>
      <c r="G53" s="444"/>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9">
    <mergeCell ref="E23:F23"/>
    <mergeCell ref="I14:J14"/>
    <mergeCell ref="B1:D2"/>
    <mergeCell ref="C3:D3"/>
    <mergeCell ref="C4:D4"/>
    <mergeCell ref="H4:J4"/>
    <mergeCell ref="C5:D5"/>
    <mergeCell ref="B7:B9"/>
    <mergeCell ref="C7:D7"/>
    <mergeCell ref="C8:D9"/>
    <mergeCell ref="C11:D11"/>
    <mergeCell ref="C12:D12"/>
    <mergeCell ref="C13:D13"/>
    <mergeCell ref="C14:D14"/>
    <mergeCell ref="G14:H14"/>
    <mergeCell ref="G29:K29"/>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G37:K37"/>
    <mergeCell ref="G39:K39"/>
    <mergeCell ref="G23:K23"/>
    <mergeCell ref="B36:B40"/>
    <mergeCell ref="G36:K36"/>
    <mergeCell ref="G38:K38"/>
    <mergeCell ref="G40:K40"/>
    <mergeCell ref="B24:D24"/>
    <mergeCell ref="G24:K24"/>
    <mergeCell ref="B25:B31"/>
    <mergeCell ref="G25:K25"/>
    <mergeCell ref="G26:K26"/>
    <mergeCell ref="G27:K27"/>
    <mergeCell ref="G28:K28"/>
    <mergeCell ref="G30:K30"/>
    <mergeCell ref="G31:K31"/>
    <mergeCell ref="B49:B53"/>
    <mergeCell ref="G49:K49"/>
    <mergeCell ref="G50:K50"/>
    <mergeCell ref="G51:K51"/>
    <mergeCell ref="G52:K52"/>
    <mergeCell ref="G53:K53"/>
    <mergeCell ref="G20:K20"/>
    <mergeCell ref="B46:B48"/>
    <mergeCell ref="G46:K46"/>
    <mergeCell ref="G47:K47"/>
    <mergeCell ref="G48:K48"/>
    <mergeCell ref="B41:B45"/>
    <mergeCell ref="G42:K42"/>
    <mergeCell ref="G43:K43"/>
    <mergeCell ref="B32:B35"/>
    <mergeCell ref="G32:K32"/>
    <mergeCell ref="G33:K33"/>
    <mergeCell ref="G34:K34"/>
    <mergeCell ref="G35:K35"/>
    <mergeCell ref="G44:K44"/>
    <mergeCell ref="G45:K45"/>
    <mergeCell ref="G41:K41"/>
  </mergeCells>
  <conditionalFormatting sqref="E17:E23">
    <cfRule type="notContainsText" dxfId="319" priority="9" operator="notContains" text="YES">
      <formula>ISERROR(SEARCH("YES",E17))</formula>
    </cfRule>
  </conditionalFormatting>
  <conditionalFormatting sqref="E43:E53">
    <cfRule type="containsText" dxfId="318" priority="7" operator="containsText" text="No">
      <formula>NOT(ISERROR(SEARCH("No",E43)))</formula>
    </cfRule>
  </conditionalFormatting>
  <conditionalFormatting sqref="E25:F42">
    <cfRule type="containsText" dxfId="317" priority="8" operator="containsText" text="No">
      <formula>NOT(ISERROR(SEARCH("No",E25)))</formula>
    </cfRule>
  </conditionalFormatting>
  <conditionalFormatting sqref="H4:J4">
    <cfRule type="cellIs" dxfId="316" priority="1" operator="equal">
      <formula>"NO PASA"</formula>
    </cfRule>
    <cfRule type="cellIs" dxfId="315" priority="2" operator="equal">
      <formula>"NO PASA"</formula>
    </cfRule>
    <cfRule type="cellIs" dxfId="314" priority="3" operator="equal">
      <formula>"PASA"</formula>
    </cfRule>
    <cfRule type="cellIs" dxfId="313" priority="4" operator="equal">
      <formula>"PASA"</formula>
    </cfRule>
    <cfRule type="cellIs" dxfId="312" priority="5" operator="equal">
      <formula>"NO PASA"</formula>
    </cfRule>
    <cfRule type="containsText" dxfId="311" priority="6" operator="containsText" text="PASA">
      <formula>NOT(ISERROR(SEARCH("PASA",H4)))</formula>
    </cfRule>
    <cfRule type="cellIs" dxfId="310" priority="13" operator="equal">
      <formula>$BC$7</formula>
    </cfRule>
    <cfRule type="cellIs" dxfId="309" priority="14" operator="equal">
      <formula>$BC$6</formula>
    </cfRule>
    <cfRule type="cellIs" dxfId="308" priority="15" operator="equal">
      <formula>$BC$4</formula>
    </cfRule>
  </conditionalFormatting>
  <conditionalFormatting sqref="I14">
    <cfRule type="cellIs" dxfId="307" priority="10" operator="greaterThanOrEqual">
      <formula>0.9</formula>
    </cfRule>
    <cfRule type="cellIs" dxfId="306" priority="11" operator="between">
      <formula>0.71</formula>
      <formula>0.9</formula>
    </cfRule>
    <cfRule type="cellIs" dxfId="305" priority="12" operator="lessThan">
      <formula>0.71</formula>
    </cfRule>
  </conditionalFormatting>
  <dataValidations count="3">
    <dataValidation type="list" allowBlank="1" showInputMessage="1" showErrorMessage="1" sqref="E38:E39 E50:E51" xr:uid="{00000000-0002-0000-0400-000000000000}">
      <formula1>"Yes,No,NA"</formula1>
    </dataValidation>
    <dataValidation type="list" allowBlank="1" showInputMessage="1" showErrorMessage="1" sqref="E52:E53 E25:E37 E40:E49" xr:uid="{00000000-0002-0000-0400-000001000000}">
      <formula1>"Yes,No"</formula1>
    </dataValidation>
    <dataValidation type="list" allowBlank="1" showInputMessage="1" showErrorMessage="1" sqref="E17:E23" xr:uid="{00000000-0002-0000-0400-000002000000}">
      <formula1>"Yes,No,Cured in Moment"</formula1>
    </dataValidation>
  </dataValidations>
  <pageMargins left="0.25" right="0.25" top="0.75" bottom="0.75" header="0.3" footer="0.3"/>
  <pageSetup paperSize="9" scale="47" fitToHeight="3" orientation="landscape" r:id="rId1"/>
  <rowBreaks count="1" manualBreakCount="1">
    <brk id="40" max="1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B1:H103"/>
  <sheetViews>
    <sheetView zoomScale="50" zoomScaleNormal="50" workbookViewId="0">
      <selection activeCell="C1" sqref="C1"/>
    </sheetView>
  </sheetViews>
  <sheetFormatPr baseColWidth="10" defaultColWidth="8.85546875" defaultRowHeight="18"/>
  <cols>
    <col min="1" max="1" width="4.42578125" style="124" customWidth="1"/>
    <col min="2" max="2" width="55" style="122" bestFit="1"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317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66.75" customHeight="1">
      <c r="B7" s="295"/>
      <c r="C7" s="130"/>
      <c r="D7" s="284"/>
      <c r="E7" s="130"/>
      <c r="F7" s="134"/>
    </row>
    <row r="8" spans="2:8" ht="68.25" customHeight="1">
      <c r="B8" s="297"/>
      <c r="C8" s="130"/>
      <c r="D8" s="284"/>
      <c r="E8" s="127"/>
      <c r="F8" s="135"/>
    </row>
    <row r="9" spans="2:8" ht="57.75" customHeight="1">
      <c r="B9" s="297"/>
      <c r="C9" s="130"/>
      <c r="D9" s="284"/>
      <c r="E9" s="127"/>
      <c r="F9" s="136"/>
    </row>
    <row r="10" spans="2:8" ht="69.75" customHeight="1">
      <c r="B10" s="297"/>
      <c r="C10" s="130"/>
      <c r="D10" s="284"/>
      <c r="E10" s="131"/>
      <c r="F10" s="136"/>
    </row>
    <row r="11" spans="2:8" ht="39.950000000000003" customHeight="1">
      <c r="B11" s="298"/>
      <c r="C11" s="130"/>
      <c r="D11" s="284"/>
      <c r="E11" s="131"/>
      <c r="F11" s="136"/>
    </row>
    <row r="12" spans="2:8" ht="44.1" customHeight="1">
      <c r="B12" s="295"/>
      <c r="C12" s="130"/>
      <c r="D12" s="284"/>
      <c r="E12" s="131"/>
      <c r="F12" s="136"/>
    </row>
    <row r="13" spans="2:8" s="126" customFormat="1" ht="30.95" customHeight="1">
      <c r="B13" s="295"/>
      <c r="C13" s="130"/>
      <c r="D13" s="284"/>
      <c r="E13" s="131"/>
      <c r="F13" s="136"/>
    </row>
    <row r="14" spans="2:8" ht="39.950000000000003" customHeight="1">
      <c r="B14" s="141"/>
      <c r="C14" s="131"/>
      <c r="D14" s="131"/>
      <c r="E14" s="131"/>
      <c r="F14" s="136"/>
    </row>
    <row r="15" spans="2:8" ht="39.950000000000003" customHeight="1">
      <c r="B15" s="141"/>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268</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2:E2"/>
    <mergeCell ref="B3:F3"/>
    <mergeCell ref="B4:F4"/>
    <mergeCell ref="B5:B6"/>
    <mergeCell ref="C5:C6"/>
    <mergeCell ref="D5:D6"/>
    <mergeCell ref="E5:E6"/>
    <mergeCell ref="F5:F6"/>
    <mergeCell ref="B18:F18"/>
    <mergeCell ref="B19:F19"/>
    <mergeCell ref="B20:B21"/>
    <mergeCell ref="C20:C21"/>
    <mergeCell ref="D20:D21"/>
    <mergeCell ref="E20:E21"/>
    <mergeCell ref="F20:F21"/>
    <mergeCell ref="B32:F32"/>
    <mergeCell ref="B33:F33"/>
    <mergeCell ref="B34:B35"/>
    <mergeCell ref="C34:C35"/>
    <mergeCell ref="D34:D35"/>
    <mergeCell ref="E34:E35"/>
    <mergeCell ref="F34:F35"/>
  </mergeCells>
  <conditionalFormatting sqref="F31">
    <cfRule type="expression" dxfId="304" priority="1" stopIfTrue="1">
      <formula>IF($E31="NA",TRUE,FALSE)</formula>
    </cfRule>
  </conditionalFormatting>
  <dataValidations count="3">
    <dataValidation type="list" allowBlank="1" showInputMessage="1" showErrorMessage="1" sqref="E31" xr:uid="{00000000-0002-0000-0500-000000000000}">
      <formula1>"Yes,No,NA"</formula1>
    </dataValidation>
    <dataValidation type="list" allowBlank="1" showInputMessage="1" showErrorMessage="1" sqref="E17" xr:uid="{00000000-0002-0000-0500-000001000000}">
      <formula1>"Yes,No"</formula1>
    </dataValidation>
    <dataValidation type="list" allowBlank="1" showInputMessage="1" showErrorMessage="1" sqref="E5:E6 E20:E21 E34:E35" xr:uid="{00000000-0002-0000-0500-000002000000}">
      <formula1>"Yes,No,Cured in Moment"</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tint="0.79998168889431442"/>
  </sheetPr>
  <dimension ref="A1:BF56"/>
  <sheetViews>
    <sheetView zoomScale="60" zoomScaleNormal="60" workbookViewId="0">
      <selection activeCell="G2" sqref="G2"/>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9.5703125" style="124" bestFit="1"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60.75" customHeight="1" thickBot="1">
      <c r="B3" s="210" t="s">
        <v>208</v>
      </c>
      <c r="C3" s="546" t="s">
        <v>360</v>
      </c>
      <c r="D3" s="547"/>
      <c r="E3" s="161"/>
      <c r="G3" s="220"/>
      <c r="H3" s="220"/>
      <c r="I3" s="220"/>
      <c r="J3" s="220"/>
    </row>
    <row r="4" spans="2:55" ht="114" customHeight="1" thickBot="1">
      <c r="B4" s="211" t="s">
        <v>275</v>
      </c>
      <c r="C4" s="548" t="s">
        <v>365</v>
      </c>
      <c r="D4" s="549"/>
      <c r="E4" s="150"/>
      <c r="G4" s="186" t="s">
        <v>11</v>
      </c>
      <c r="H4" s="511" t="str">
        <f>IF(COUNTIF(BB6,"0")&gt;0,"PASA","NO PASA")</f>
        <v>PASA</v>
      </c>
      <c r="I4" s="512"/>
      <c r="J4" s="513"/>
      <c r="BA4" s="221" t="s">
        <v>174</v>
      </c>
      <c r="BB4" s="123">
        <f>COUNTIF(E17:F23,BA4)</f>
        <v>0</v>
      </c>
      <c r="BC4" s="225" t="s">
        <v>262</v>
      </c>
    </row>
    <row r="5" spans="2:55" ht="55.5" customHeight="1" thickBot="1">
      <c r="B5" s="236" t="s">
        <v>203</v>
      </c>
      <c r="C5" s="550">
        <v>46272</v>
      </c>
      <c r="D5" s="551"/>
      <c r="G5" s="228" t="s">
        <v>198</v>
      </c>
      <c r="H5" s="185" t="s">
        <v>3</v>
      </c>
      <c r="I5" s="229" t="s">
        <v>4</v>
      </c>
      <c r="J5" s="230" t="s">
        <v>5</v>
      </c>
      <c r="BC5" s="225"/>
    </row>
    <row r="6" spans="2:55" ht="48" customHeight="1" thickBot="1">
      <c r="C6" s="122"/>
      <c r="E6" s="128"/>
      <c r="G6" s="187" t="s">
        <v>254</v>
      </c>
      <c r="H6" s="160">
        <v>31</v>
      </c>
      <c r="I6" s="160">
        <f>SUM(F25:F31)</f>
        <v>31</v>
      </c>
      <c r="J6" s="167">
        <f t="shared" ref="J6:J9" si="0">I6/H6</f>
        <v>1</v>
      </c>
      <c r="BA6" s="221" t="s">
        <v>193</v>
      </c>
      <c r="BB6" s="123">
        <f>COUNTIF(E17:F23,BA6)</f>
        <v>0</v>
      </c>
      <c r="BC6" s="225" t="s">
        <v>263</v>
      </c>
    </row>
    <row r="7" spans="2:55" ht="48" customHeight="1" thickBot="1">
      <c r="B7" s="438" t="s">
        <v>243</v>
      </c>
      <c r="C7" s="516" t="s">
        <v>252</v>
      </c>
      <c r="D7" s="517"/>
      <c r="E7" s="164"/>
      <c r="G7" s="168" t="s">
        <v>199</v>
      </c>
      <c r="H7" s="169">
        <v>18</v>
      </c>
      <c r="I7" s="169">
        <f>SUM(F32:F35)</f>
        <v>18</v>
      </c>
      <c r="J7" s="170">
        <f t="shared" si="0"/>
        <v>1</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19</v>
      </c>
      <c r="J9" s="170">
        <f t="shared" si="0"/>
        <v>1</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5</v>
      </c>
      <c r="J11" s="170">
        <f t="shared" ref="J11:J12" si="1">I11/H11</f>
        <v>1</v>
      </c>
    </row>
    <row r="12" spans="2:55" ht="72.75" customHeight="1" thickBot="1">
      <c r="B12" s="219" t="s">
        <v>244</v>
      </c>
      <c r="C12" s="524" t="s">
        <v>246</v>
      </c>
      <c r="D12" s="525"/>
      <c r="E12" s="166"/>
      <c r="G12" s="198" t="s">
        <v>271</v>
      </c>
      <c r="H12" s="199">
        <f>SUM(H6:H11)</f>
        <v>117</v>
      </c>
      <c r="I12" s="199">
        <f>SUM(I6:I11)</f>
        <v>117</v>
      </c>
      <c r="J12" s="200">
        <f t="shared" si="1"/>
        <v>1</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1</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G20" s="493"/>
      <c r="H20" s="494"/>
      <c r="I20" s="494"/>
      <c r="J20" s="494"/>
      <c r="K20" s="495"/>
      <c r="V20" s="122"/>
      <c r="AY20" s="172" t="str">
        <f t="shared" si="2"/>
        <v>Yes</v>
      </c>
      <c r="BA20" s="222"/>
      <c r="BB20" s="122"/>
      <c r="BC20" s="122"/>
    </row>
    <row r="21" spans="2:58" s="172" customFormat="1" ht="45.95" customHeight="1">
      <c r="B21" s="439"/>
      <c r="C21" s="214">
        <v>5</v>
      </c>
      <c r="D21" s="215" t="s">
        <v>213</v>
      </c>
      <c r="E21" s="496" t="s">
        <v>266</v>
      </c>
      <c r="F21" s="497"/>
      <c r="G21" s="498"/>
      <c r="H21" s="499"/>
      <c r="I21" s="499"/>
      <c r="J21" s="499"/>
      <c r="K21" s="500"/>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552"/>
      <c r="H25" s="552"/>
      <c r="I25" s="552"/>
      <c r="J25" s="552"/>
      <c r="K25" s="552"/>
    </row>
    <row r="26" spans="2:58" ht="45.95" customHeight="1">
      <c r="B26" s="439"/>
      <c r="C26" s="127">
        <v>2</v>
      </c>
      <c r="D26" s="192" t="s">
        <v>219</v>
      </c>
      <c r="E26" s="140" t="s">
        <v>266</v>
      </c>
      <c r="F26" s="135">
        <f>IF(E26="Yes",5,0)</f>
        <v>5</v>
      </c>
      <c r="G26" s="453"/>
      <c r="H26" s="454"/>
      <c r="I26" s="454"/>
      <c r="J26" s="454"/>
      <c r="K26" s="455"/>
    </row>
    <row r="27" spans="2:58" ht="45.95" customHeight="1">
      <c r="B27" s="439"/>
      <c r="C27" s="143">
        <v>3</v>
      </c>
      <c r="D27" s="193" t="s">
        <v>216</v>
      </c>
      <c r="E27" s="177" t="s">
        <v>266</v>
      </c>
      <c r="F27" s="178">
        <f>IF(E27="Yes",5,0)</f>
        <v>5</v>
      </c>
      <c r="G27" s="444"/>
      <c r="H27" s="445"/>
      <c r="I27" s="445"/>
      <c r="J27" s="445"/>
      <c r="K27" s="446"/>
    </row>
    <row r="28" spans="2:58" ht="51.75" customHeight="1">
      <c r="B28" s="439"/>
      <c r="C28" s="127">
        <v>4</v>
      </c>
      <c r="D28" s="192" t="s">
        <v>217</v>
      </c>
      <c r="E28" s="140" t="s">
        <v>266</v>
      </c>
      <c r="F28" s="135">
        <f t="shared" ref="F28:F32" si="3">IF(E28="Yes",1,0)</f>
        <v>1</v>
      </c>
      <c r="G28" s="553"/>
      <c r="H28" s="553"/>
      <c r="I28" s="553"/>
      <c r="J28" s="553"/>
      <c r="K28" s="553"/>
    </row>
    <row r="29" spans="2:58" ht="50.25" customHeight="1">
      <c r="B29" s="439"/>
      <c r="C29" s="151">
        <v>5</v>
      </c>
      <c r="D29" s="193" t="s">
        <v>218</v>
      </c>
      <c r="E29" s="177" t="s">
        <v>266</v>
      </c>
      <c r="F29" s="178">
        <f t="shared" si="3"/>
        <v>1</v>
      </c>
      <c r="G29" s="554"/>
      <c r="H29" s="554"/>
      <c r="I29" s="554"/>
      <c r="J29" s="554"/>
      <c r="K29" s="554"/>
    </row>
    <row r="30" spans="2:58" ht="47.25" customHeight="1">
      <c r="B30" s="439"/>
      <c r="C30" s="131">
        <v>6</v>
      </c>
      <c r="D30" s="192" t="s">
        <v>220</v>
      </c>
      <c r="E30" s="140" t="s">
        <v>266</v>
      </c>
      <c r="F30" s="135">
        <f>IF(E30="Yes",7,0)</f>
        <v>7</v>
      </c>
      <c r="G30" s="453"/>
      <c r="H30" s="454"/>
      <c r="I30" s="454"/>
      <c r="J30" s="454"/>
      <c r="K30" s="455"/>
    </row>
    <row r="31" spans="2:58" ht="48.75" customHeight="1" thickBot="1">
      <c r="B31" s="440"/>
      <c r="C31" s="158">
        <v>7</v>
      </c>
      <c r="D31" s="194" t="s">
        <v>221</v>
      </c>
      <c r="E31" s="179" t="s">
        <v>266</v>
      </c>
      <c r="F31" s="180">
        <f>IF(E31="Yes",7,0)</f>
        <v>7</v>
      </c>
      <c r="G31" s="543"/>
      <c r="H31" s="544"/>
      <c r="I31" s="544"/>
      <c r="J31" s="544"/>
      <c r="K31" s="545"/>
    </row>
    <row r="32" spans="2:58" ht="48.75" customHeight="1">
      <c r="B32" s="438" t="s">
        <v>257</v>
      </c>
      <c r="C32" s="227">
        <v>1</v>
      </c>
      <c r="D32" s="206" t="s">
        <v>222</v>
      </c>
      <c r="E32" s="181" t="s">
        <v>266</v>
      </c>
      <c r="F32" s="182">
        <f t="shared" si="3"/>
        <v>1</v>
      </c>
      <c r="G32" s="456"/>
      <c r="H32" s="457"/>
      <c r="I32" s="457"/>
      <c r="J32" s="457"/>
      <c r="K32" s="458"/>
    </row>
    <row r="33" spans="1:11" ht="45.95" customHeight="1">
      <c r="B33" s="439"/>
      <c r="C33" s="143">
        <v>2</v>
      </c>
      <c r="D33" s="203" t="s">
        <v>223</v>
      </c>
      <c r="E33" s="177" t="s">
        <v>266</v>
      </c>
      <c r="F33" s="178">
        <f>IF(E33="Yes",5,0)</f>
        <v>5</v>
      </c>
      <c r="G33" s="556"/>
      <c r="H33" s="556"/>
      <c r="I33" s="556"/>
      <c r="J33" s="556"/>
      <c r="K33" s="556"/>
    </row>
    <row r="34" spans="1:11" ht="45.95" customHeight="1">
      <c r="B34" s="439"/>
      <c r="C34" s="131">
        <v>3</v>
      </c>
      <c r="D34" s="202" t="s">
        <v>224</v>
      </c>
      <c r="E34" s="140" t="s">
        <v>266</v>
      </c>
      <c r="F34" s="135">
        <f>IF(E34="Yes",5,0)</f>
        <v>5</v>
      </c>
      <c r="G34" s="453"/>
      <c r="H34" s="454"/>
      <c r="I34" s="454"/>
      <c r="J34" s="454"/>
      <c r="K34" s="455"/>
    </row>
    <row r="35" spans="1:11" ht="48.75" customHeight="1" thickBot="1">
      <c r="B35" s="440"/>
      <c r="C35" s="158">
        <v>4</v>
      </c>
      <c r="D35" s="207" t="s">
        <v>225</v>
      </c>
      <c r="E35" s="179" t="s">
        <v>266</v>
      </c>
      <c r="F35" s="180">
        <f>IF(E35="Yes",7,0)</f>
        <v>7</v>
      </c>
      <c r="G35" s="459"/>
      <c r="H35" s="460"/>
      <c r="I35" s="460"/>
      <c r="J35" s="460"/>
      <c r="K35" s="461"/>
    </row>
    <row r="36" spans="1:11" ht="45.95" customHeight="1">
      <c r="B36" s="439" t="s">
        <v>200</v>
      </c>
      <c r="C36" s="130">
        <v>1</v>
      </c>
      <c r="D36" s="208" t="s">
        <v>272</v>
      </c>
      <c r="E36" s="181" t="s">
        <v>266</v>
      </c>
      <c r="F36" s="182">
        <f>IF(E36="Yes",7,0)</f>
        <v>7</v>
      </c>
      <c r="G36" s="471"/>
      <c r="H36" s="472"/>
      <c r="I36" s="472"/>
      <c r="J36" s="472"/>
      <c r="K36" s="473"/>
    </row>
    <row r="37" spans="1:11" ht="45.95" customHeight="1">
      <c r="B37" s="439"/>
      <c r="C37" s="174">
        <v>2</v>
      </c>
      <c r="D37" s="203" t="s">
        <v>226</v>
      </c>
      <c r="E37" s="177" t="s">
        <v>266</v>
      </c>
      <c r="F37" s="178">
        <f>IF(E37="Yes",5,0)</f>
        <v>5</v>
      </c>
      <c r="G37" s="465"/>
      <c r="H37" s="466"/>
      <c r="I37" s="466"/>
      <c r="J37" s="466"/>
      <c r="K37" s="467"/>
    </row>
    <row r="38" spans="1:11" ht="50.25" customHeight="1">
      <c r="B38" s="439"/>
      <c r="C38" s="127">
        <v>3</v>
      </c>
      <c r="D38" s="202" t="s">
        <v>228</v>
      </c>
      <c r="E38" s="140" t="s">
        <v>266</v>
      </c>
      <c r="F38" s="135">
        <f>IF(OR(E38="Yes",E38="NA"),7,0)</f>
        <v>7</v>
      </c>
      <c r="G38" s="474"/>
      <c r="H38" s="475"/>
      <c r="I38" s="475"/>
      <c r="J38" s="475"/>
      <c r="K38" s="476"/>
    </row>
    <row r="39" spans="1:11" ht="68.25" customHeight="1">
      <c r="B39" s="439"/>
      <c r="C39" s="174">
        <v>4</v>
      </c>
      <c r="D39" s="203" t="s">
        <v>273</v>
      </c>
      <c r="E39" s="177" t="s">
        <v>266</v>
      </c>
      <c r="F39" s="178">
        <f>IF(OR(E39="Yes",E39="NA"),7,0)</f>
        <v>7</v>
      </c>
      <c r="G39" s="465"/>
      <c r="H39" s="466"/>
      <c r="I39" s="466"/>
      <c r="J39" s="466"/>
      <c r="K39" s="467"/>
    </row>
    <row r="40" spans="1:11" ht="45.95" customHeight="1" thickBot="1">
      <c r="B40" s="439"/>
      <c r="C40" s="132">
        <v>5</v>
      </c>
      <c r="D40" s="209" t="s">
        <v>227</v>
      </c>
      <c r="E40" s="142" t="s">
        <v>266</v>
      </c>
      <c r="F40" s="137">
        <f>IF(E40="Yes",5,0)</f>
        <v>5</v>
      </c>
      <c r="G40" s="447"/>
      <c r="H40" s="448"/>
      <c r="I40" s="448"/>
      <c r="J40" s="448"/>
      <c r="K40" s="449"/>
    </row>
    <row r="41" spans="1:11" ht="50.25" customHeight="1">
      <c r="B41" s="438" t="s">
        <v>255</v>
      </c>
      <c r="C41" s="174">
        <v>1</v>
      </c>
      <c r="D41" s="201" t="s">
        <v>229</v>
      </c>
      <c r="E41" s="175" t="s">
        <v>266</v>
      </c>
      <c r="F41" s="176">
        <f>IF(E41="Yes",5,0)</f>
        <v>5</v>
      </c>
      <c r="G41" s="462"/>
      <c r="H41" s="463"/>
      <c r="I41" s="463"/>
      <c r="J41" s="463"/>
      <c r="K41" s="464"/>
    </row>
    <row r="42" spans="1:11" ht="47.25" customHeight="1">
      <c r="B42" s="439"/>
      <c r="C42" s="127">
        <v>2</v>
      </c>
      <c r="D42" s="202" t="s">
        <v>237</v>
      </c>
      <c r="E42" s="140" t="s">
        <v>266</v>
      </c>
      <c r="F42" s="135">
        <f>IF(E42="Yes",5,0)</f>
        <v>5</v>
      </c>
      <c r="G42" s="453"/>
      <c r="H42" s="454"/>
      <c r="I42" s="454"/>
      <c r="J42" s="454"/>
      <c r="K42" s="455"/>
    </row>
    <row r="43" spans="1:11" ht="45.95" customHeight="1">
      <c r="B43" s="439"/>
      <c r="C43" s="143">
        <v>3</v>
      </c>
      <c r="D43" s="212" t="s">
        <v>236</v>
      </c>
      <c r="E43" s="140" t="s">
        <v>266</v>
      </c>
      <c r="F43" s="178">
        <f>IF(E43="Yes",7,0)</f>
        <v>7</v>
      </c>
      <c r="G43" s="444"/>
      <c r="H43" s="445"/>
      <c r="I43" s="445"/>
      <c r="J43" s="445"/>
      <c r="K43" s="446"/>
    </row>
    <row r="44" spans="1:11" ht="45.95" customHeight="1">
      <c r="A44" s="124" t="s">
        <v>366</v>
      </c>
      <c r="B44" s="439"/>
      <c r="C44" s="127">
        <v>4</v>
      </c>
      <c r="D44" s="202" t="s">
        <v>235</v>
      </c>
      <c r="E44" s="140" t="s">
        <v>266</v>
      </c>
      <c r="F44" s="135">
        <f>IF(E44="Yes",1,0)</f>
        <v>1</v>
      </c>
      <c r="G44" s="453"/>
      <c r="H44" s="454"/>
      <c r="I44" s="454"/>
      <c r="J44" s="454"/>
      <c r="K44" s="455"/>
    </row>
    <row r="45" spans="1:11" ht="45.95" customHeight="1" thickBot="1">
      <c r="B45" s="440"/>
      <c r="C45" s="158">
        <v>5</v>
      </c>
      <c r="D45" s="207" t="s">
        <v>230</v>
      </c>
      <c r="E45" s="179" t="s">
        <v>266</v>
      </c>
      <c r="F45" s="180">
        <f t="shared" ref="F45:F49" si="4">IF(E45="Yes",1,0)</f>
        <v>1</v>
      </c>
      <c r="G45" s="459"/>
      <c r="H45" s="460"/>
      <c r="I45" s="460"/>
      <c r="J45" s="460"/>
      <c r="K45" s="461"/>
    </row>
    <row r="46" spans="1:11" ht="45.95" customHeight="1">
      <c r="B46" s="438" t="s">
        <v>242</v>
      </c>
      <c r="C46" s="130">
        <v>1</v>
      </c>
      <c r="D46" s="213" t="s">
        <v>238</v>
      </c>
      <c r="E46" s="140" t="s">
        <v>266</v>
      </c>
      <c r="F46" s="135">
        <f>IF(E46="Yes",7,0)</f>
        <v>7</v>
      </c>
      <c r="G46" s="441"/>
      <c r="H46" s="442"/>
      <c r="I46" s="442"/>
      <c r="J46" s="442"/>
      <c r="K46" s="443"/>
    </row>
    <row r="47" spans="1:11" ht="45.95" customHeight="1">
      <c r="B47" s="439"/>
      <c r="C47" s="143">
        <v>2</v>
      </c>
      <c r="D47" s="193" t="s">
        <v>239</v>
      </c>
      <c r="E47" s="177" t="s">
        <v>266</v>
      </c>
      <c r="F47" s="178">
        <f>IF(E47="Yes",5,0)</f>
        <v>5</v>
      </c>
      <c r="G47" s="444"/>
      <c r="H47" s="445"/>
      <c r="I47" s="445"/>
      <c r="J47" s="445"/>
      <c r="K47" s="446"/>
    </row>
    <row r="48" spans="1: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555"/>
      <c r="H49" s="555"/>
      <c r="I49" s="555"/>
      <c r="J49" s="555"/>
      <c r="K49" s="555"/>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266</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266</v>
      </c>
      <c r="F53" s="190">
        <f>IF(E53="Yes",1,0)</f>
        <v>1</v>
      </c>
      <c r="G53" s="444"/>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9">
    <mergeCell ref="G20:K20"/>
    <mergeCell ref="G30:K30"/>
    <mergeCell ref="B46:B48"/>
    <mergeCell ref="G46:K46"/>
    <mergeCell ref="G47:K47"/>
    <mergeCell ref="G48:K48"/>
    <mergeCell ref="B41:B45"/>
    <mergeCell ref="G42:K42"/>
    <mergeCell ref="G43:K43"/>
    <mergeCell ref="B32:B35"/>
    <mergeCell ref="G32:K32"/>
    <mergeCell ref="G33:K33"/>
    <mergeCell ref="G34:K34"/>
    <mergeCell ref="G35:K35"/>
    <mergeCell ref="G44:K44"/>
    <mergeCell ref="G45:K45"/>
    <mergeCell ref="B49:B53"/>
    <mergeCell ref="G49:K49"/>
    <mergeCell ref="G50:K50"/>
    <mergeCell ref="G51:K51"/>
    <mergeCell ref="G52:K52"/>
    <mergeCell ref="G53:K53"/>
    <mergeCell ref="G41:K41"/>
    <mergeCell ref="G23:K23"/>
    <mergeCell ref="B36:B40"/>
    <mergeCell ref="G36:K36"/>
    <mergeCell ref="G38:K38"/>
    <mergeCell ref="G40:K40"/>
    <mergeCell ref="B24:D24"/>
    <mergeCell ref="G24:K24"/>
    <mergeCell ref="B25:B31"/>
    <mergeCell ref="G25:K25"/>
    <mergeCell ref="G26:K26"/>
    <mergeCell ref="G27:K27"/>
    <mergeCell ref="G28:K28"/>
    <mergeCell ref="G29:K29"/>
    <mergeCell ref="G37:K37"/>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G31:K31"/>
    <mergeCell ref="G39:K39"/>
    <mergeCell ref="I14:J14"/>
    <mergeCell ref="B1:D2"/>
    <mergeCell ref="C3:D3"/>
    <mergeCell ref="C4:D4"/>
    <mergeCell ref="H4:J4"/>
    <mergeCell ref="C5:D5"/>
    <mergeCell ref="B7:B9"/>
    <mergeCell ref="C7:D7"/>
    <mergeCell ref="C8:D9"/>
    <mergeCell ref="C11:D11"/>
    <mergeCell ref="C12:D12"/>
    <mergeCell ref="C13:D13"/>
    <mergeCell ref="C14:D14"/>
    <mergeCell ref="G14:H14"/>
  </mergeCells>
  <conditionalFormatting sqref="E17:E23">
    <cfRule type="notContainsText" dxfId="303" priority="9" operator="notContains" text="YES">
      <formula>ISERROR(SEARCH("YES",E17))</formula>
    </cfRule>
  </conditionalFormatting>
  <conditionalFormatting sqref="E43:E53">
    <cfRule type="containsText" dxfId="302" priority="7" operator="containsText" text="No">
      <formula>NOT(ISERROR(SEARCH("No",E43)))</formula>
    </cfRule>
  </conditionalFormatting>
  <conditionalFormatting sqref="E25:F42">
    <cfRule type="containsText" dxfId="301" priority="8" operator="containsText" text="No">
      <formula>NOT(ISERROR(SEARCH("No",E25)))</formula>
    </cfRule>
  </conditionalFormatting>
  <conditionalFormatting sqref="H4:J4">
    <cfRule type="cellIs" dxfId="300" priority="1" operator="equal">
      <formula>"NO PASA"</formula>
    </cfRule>
    <cfRule type="cellIs" dxfId="299" priority="2" operator="equal">
      <formula>"NO PASA"</formula>
    </cfRule>
    <cfRule type="cellIs" dxfId="298" priority="3" operator="equal">
      <formula>"PASA"</formula>
    </cfRule>
    <cfRule type="cellIs" dxfId="297" priority="4" operator="equal">
      <formula>"PASA"</formula>
    </cfRule>
    <cfRule type="cellIs" dxfId="296" priority="5" operator="equal">
      <formula>"NO PASA"</formula>
    </cfRule>
    <cfRule type="containsText" dxfId="295" priority="6" operator="containsText" text="PASA">
      <formula>NOT(ISERROR(SEARCH("PASA",H4)))</formula>
    </cfRule>
    <cfRule type="cellIs" dxfId="294" priority="13" operator="equal">
      <formula>$BC$7</formula>
    </cfRule>
    <cfRule type="cellIs" dxfId="293" priority="14" operator="equal">
      <formula>$BC$6</formula>
    </cfRule>
    <cfRule type="cellIs" dxfId="292" priority="15" operator="equal">
      <formula>$BC$4</formula>
    </cfRule>
  </conditionalFormatting>
  <conditionalFormatting sqref="I14">
    <cfRule type="cellIs" dxfId="291" priority="10" operator="greaterThanOrEqual">
      <formula>0.9</formula>
    </cfRule>
    <cfRule type="cellIs" dxfId="290" priority="11" operator="between">
      <formula>0.71</formula>
      <formula>0.9</formula>
    </cfRule>
    <cfRule type="cellIs" dxfId="289" priority="12" operator="lessThan">
      <formula>0.71</formula>
    </cfRule>
  </conditionalFormatting>
  <dataValidations count="3">
    <dataValidation type="list" allowBlank="1" showInputMessage="1" showErrorMessage="1" sqref="E38:E39 E50:E51" xr:uid="{00000000-0002-0000-2800-000000000000}">
      <formula1>"Yes,No,NA"</formula1>
    </dataValidation>
    <dataValidation type="list" allowBlank="1" showInputMessage="1" showErrorMessage="1" sqref="E52:E53 E25:E37 E40:E49" xr:uid="{00000000-0002-0000-2800-000001000000}">
      <formula1>"Yes,No"</formula1>
    </dataValidation>
    <dataValidation type="list" allowBlank="1" showInputMessage="1" showErrorMessage="1" sqref="E17:E23" xr:uid="{00000000-0002-0000-2800-000002000000}">
      <formula1>"Yes,No,Cured in Moment"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tint="0.79998168889431442"/>
  </sheetPr>
  <dimension ref="B1:H103"/>
  <sheetViews>
    <sheetView zoomScale="50" zoomScaleNormal="50" workbookViewId="0">
      <selection activeCell="E1" sqref="E1"/>
    </sheetView>
  </sheetViews>
  <sheetFormatPr baseColWidth="10" defaultColWidth="8.85546875" defaultRowHeight="18"/>
  <cols>
    <col min="1" max="1" width="4.42578125" style="124" customWidth="1"/>
    <col min="2" max="2" width="40.140625" style="122"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74.25" customHeight="1">
      <c r="B7" s="139"/>
      <c r="C7" s="130"/>
      <c r="D7" s="138"/>
      <c r="E7" s="130"/>
      <c r="F7" s="134"/>
    </row>
    <row r="8" spans="2:8" ht="77.25" customHeight="1">
      <c r="B8" s="140"/>
      <c r="C8" s="130"/>
      <c r="D8" s="138"/>
      <c r="E8" s="127"/>
      <c r="F8" s="135"/>
    </row>
    <row r="9" spans="2:8" ht="62.25" customHeight="1">
      <c r="B9" s="141"/>
      <c r="C9" s="130"/>
      <c r="D9" s="138"/>
      <c r="E9" s="127"/>
      <c r="F9" s="136"/>
    </row>
    <row r="10" spans="2:8" ht="57.75" customHeight="1">
      <c r="B10" s="141"/>
      <c r="C10" s="130"/>
      <c r="D10" s="138"/>
      <c r="E10" s="131"/>
      <c r="F10" s="136"/>
    </row>
    <row r="11" spans="2:8" ht="64.5" customHeight="1">
      <c r="B11" s="141"/>
      <c r="C11" s="130"/>
      <c r="D11" s="138"/>
      <c r="E11" s="131"/>
      <c r="F11" s="136"/>
    </row>
    <row r="12" spans="2:8" ht="44.1" customHeight="1">
      <c r="B12" s="141"/>
      <c r="C12" s="131"/>
      <c r="D12" s="131"/>
      <c r="E12" s="131"/>
      <c r="F12" s="136"/>
    </row>
    <row r="13" spans="2:8" s="126" customFormat="1" ht="30.95" customHeight="1">
      <c r="B13" s="141"/>
      <c r="C13" s="131"/>
      <c r="D13" s="131"/>
      <c r="E13" s="131"/>
      <c r="F13" s="136"/>
    </row>
    <row r="14" spans="2:8" ht="39.950000000000003" customHeight="1">
      <c r="B14" s="141"/>
      <c r="C14" s="131"/>
      <c r="D14" s="131"/>
      <c r="E14" s="131"/>
      <c r="F14" s="136"/>
    </row>
    <row r="15" spans="2:8" ht="39.950000000000003" customHeight="1">
      <c r="B15" s="141"/>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316</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32:F32"/>
    <mergeCell ref="B33:F33"/>
    <mergeCell ref="B34:B35"/>
    <mergeCell ref="C34:C35"/>
    <mergeCell ref="D34:D35"/>
    <mergeCell ref="E34:E35"/>
    <mergeCell ref="F34:F35"/>
    <mergeCell ref="B18:F18"/>
    <mergeCell ref="B19:F19"/>
    <mergeCell ref="B20:B21"/>
    <mergeCell ref="C20:C21"/>
    <mergeCell ref="D20:D21"/>
    <mergeCell ref="E20:E21"/>
    <mergeCell ref="F20:F21"/>
    <mergeCell ref="B2:E2"/>
    <mergeCell ref="B3:F3"/>
    <mergeCell ref="B4:F4"/>
    <mergeCell ref="B5:B6"/>
    <mergeCell ref="C5:C6"/>
    <mergeCell ref="D5:D6"/>
    <mergeCell ref="E5:E6"/>
    <mergeCell ref="F5:F6"/>
  </mergeCells>
  <conditionalFormatting sqref="F31">
    <cfRule type="expression" dxfId="288" priority="1" stopIfTrue="1">
      <formula>IF($E31="NA",TRUE,FALSE)</formula>
    </cfRule>
  </conditionalFormatting>
  <dataValidations count="3">
    <dataValidation type="list" allowBlank="1" showInputMessage="1" showErrorMessage="1" sqref="E31" xr:uid="{00000000-0002-0000-2900-000000000000}">
      <formula1>"Yes,No,NA"</formula1>
    </dataValidation>
    <dataValidation type="list" allowBlank="1" showInputMessage="1" showErrorMessage="1" sqref="E17" xr:uid="{00000000-0002-0000-2900-000001000000}">
      <formula1>"Yes,No"</formula1>
    </dataValidation>
    <dataValidation type="list" allowBlank="1" showInputMessage="1" showErrorMessage="1" sqref="E5:E6 E20:E21 E34:E35" xr:uid="{00000000-0002-0000-2900-000002000000}">
      <formula1>"Yes,No,Cured in Moment"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249977111117893"/>
  </sheetPr>
  <dimension ref="B1:BF56"/>
  <sheetViews>
    <sheetView zoomScale="60" zoomScaleNormal="60" workbookViewId="0">
      <selection activeCell="G34" sqref="G34:K34"/>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20.7109375" style="124"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60.75" customHeight="1" thickBot="1">
      <c r="B3" s="210" t="s">
        <v>208</v>
      </c>
      <c r="C3" s="507" t="s">
        <v>320</v>
      </c>
      <c r="D3" s="508"/>
      <c r="E3" s="161"/>
      <c r="G3" s="220"/>
      <c r="H3" s="220"/>
      <c r="I3" s="220"/>
      <c r="J3" s="220"/>
    </row>
    <row r="4" spans="2:55" ht="74.25" customHeight="1" thickBot="1">
      <c r="B4" s="211" t="s">
        <v>275</v>
      </c>
      <c r="C4" s="509" t="s">
        <v>352</v>
      </c>
      <c r="D4" s="510"/>
      <c r="E4" s="150"/>
      <c r="G4" s="186" t="s">
        <v>11</v>
      </c>
      <c r="H4" s="511" t="str">
        <f>IF(COUNTIF(BB6,"0")&gt;0,"PASA","NO PASA")</f>
        <v>PASA</v>
      </c>
      <c r="I4" s="512"/>
      <c r="J4" s="513"/>
      <c r="BA4" s="221" t="s">
        <v>174</v>
      </c>
      <c r="BB4" s="123">
        <f>COUNTIF(E17:F23,BA4)</f>
        <v>0</v>
      </c>
      <c r="BC4" s="225" t="s">
        <v>262</v>
      </c>
    </row>
    <row r="5" spans="2:55" ht="55.5" customHeight="1" thickBot="1">
      <c r="B5" s="236" t="s">
        <v>203</v>
      </c>
      <c r="C5" s="514">
        <v>46276</v>
      </c>
      <c r="D5" s="515"/>
      <c r="G5" s="228" t="s">
        <v>198</v>
      </c>
      <c r="H5" s="185" t="s">
        <v>3</v>
      </c>
      <c r="I5" s="229" t="s">
        <v>4</v>
      </c>
      <c r="J5" s="230" t="s">
        <v>5</v>
      </c>
      <c r="BC5" s="225"/>
    </row>
    <row r="6" spans="2:55" ht="48" customHeight="1" thickBot="1">
      <c r="C6" s="122"/>
      <c r="E6" s="128"/>
      <c r="G6" s="187" t="s">
        <v>254</v>
      </c>
      <c r="H6" s="160">
        <v>31</v>
      </c>
      <c r="I6" s="160">
        <f>SUM(F25:F31)</f>
        <v>31</v>
      </c>
      <c r="J6" s="167">
        <f t="shared" ref="J6:J9" si="0">I6/H6</f>
        <v>1</v>
      </c>
      <c r="BA6" s="221" t="s">
        <v>193</v>
      </c>
      <c r="BB6" s="123">
        <f>COUNTIF(E17:F23,BA6)</f>
        <v>0</v>
      </c>
      <c r="BC6" s="225" t="s">
        <v>263</v>
      </c>
    </row>
    <row r="7" spans="2:55" ht="48" customHeight="1" thickBot="1">
      <c r="B7" s="438" t="s">
        <v>243</v>
      </c>
      <c r="C7" s="516" t="s">
        <v>252</v>
      </c>
      <c r="D7" s="517"/>
      <c r="E7" s="164"/>
      <c r="G7" s="168" t="s">
        <v>199</v>
      </c>
      <c r="H7" s="169">
        <v>18</v>
      </c>
      <c r="I7" s="169">
        <f>SUM(F32:F35)</f>
        <v>18</v>
      </c>
      <c r="J7" s="170">
        <f t="shared" si="0"/>
        <v>1</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19</v>
      </c>
      <c r="J9" s="170">
        <f t="shared" si="0"/>
        <v>1</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5</v>
      </c>
      <c r="J11" s="170">
        <f t="shared" ref="J11:J12" si="1">I11/H11</f>
        <v>1</v>
      </c>
    </row>
    <row r="12" spans="2:55" ht="72.75" customHeight="1" thickBot="1">
      <c r="B12" s="219" t="s">
        <v>244</v>
      </c>
      <c r="C12" s="524" t="s">
        <v>246</v>
      </c>
      <c r="D12" s="525"/>
      <c r="E12" s="166"/>
      <c r="G12" s="198" t="s">
        <v>271</v>
      </c>
      <c r="H12" s="199">
        <f>SUM(H6:H11)</f>
        <v>117</v>
      </c>
      <c r="I12" s="199">
        <f>SUM(I6:I11)</f>
        <v>117</v>
      </c>
      <c r="J12" s="200">
        <f t="shared" si="1"/>
        <v>1</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1</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563" t="s">
        <v>283</v>
      </c>
      <c r="H17" s="564"/>
      <c r="I17" s="564"/>
      <c r="J17" s="564"/>
      <c r="K17" s="565"/>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G20" s="493"/>
      <c r="H20" s="494"/>
      <c r="I20" s="494"/>
      <c r="J20" s="494"/>
      <c r="K20" s="495"/>
      <c r="V20" s="122"/>
      <c r="AY20" s="172" t="str">
        <f t="shared" si="2"/>
        <v>Yes</v>
      </c>
      <c r="BA20" s="222"/>
      <c r="BB20" s="122"/>
      <c r="BC20" s="122"/>
    </row>
    <row r="21" spans="2:58" s="172" customFormat="1" ht="45.95" customHeight="1">
      <c r="B21" s="439"/>
      <c r="C21" s="214">
        <v>5</v>
      </c>
      <c r="D21" s="215" t="s">
        <v>213</v>
      </c>
      <c r="E21" s="496" t="s">
        <v>266</v>
      </c>
      <c r="F21" s="497"/>
      <c r="G21" s="498"/>
      <c r="H21" s="499"/>
      <c r="I21" s="499"/>
      <c r="J21" s="499"/>
      <c r="K21" s="500"/>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557"/>
      <c r="H25" s="558"/>
      <c r="I25" s="558"/>
      <c r="J25" s="558"/>
      <c r="K25" s="559"/>
    </row>
    <row r="26" spans="2:58" ht="75.75" customHeight="1">
      <c r="B26" s="439"/>
      <c r="C26" s="127">
        <v>2</v>
      </c>
      <c r="D26" s="192" t="s">
        <v>219</v>
      </c>
      <c r="E26" s="140" t="s">
        <v>266</v>
      </c>
      <c r="F26" s="135">
        <f>IF(E26="Yes",5,0)</f>
        <v>5</v>
      </c>
      <c r="G26" s="453"/>
      <c r="H26" s="454"/>
      <c r="I26" s="454"/>
      <c r="J26" s="454"/>
      <c r="K26" s="455"/>
    </row>
    <row r="27" spans="2:58" ht="45.95" customHeight="1">
      <c r="B27" s="439"/>
      <c r="C27" s="143">
        <v>3</v>
      </c>
      <c r="D27" s="193" t="s">
        <v>216</v>
      </c>
      <c r="E27" s="177" t="s">
        <v>266</v>
      </c>
      <c r="F27" s="178">
        <f>IF(E27="Yes",5,0)</f>
        <v>5</v>
      </c>
      <c r="G27" s="444"/>
      <c r="H27" s="445"/>
      <c r="I27" s="445"/>
      <c r="J27" s="445"/>
      <c r="K27" s="446"/>
    </row>
    <row r="28" spans="2:58" ht="51.75" customHeight="1">
      <c r="B28" s="439"/>
      <c r="C28" s="127">
        <v>4</v>
      </c>
      <c r="D28" s="192" t="s">
        <v>217</v>
      </c>
      <c r="E28" s="140" t="s">
        <v>266</v>
      </c>
      <c r="F28" s="135">
        <f t="shared" ref="F28:F32" si="3">IF(E28="Yes",1,0)</f>
        <v>1</v>
      </c>
      <c r="G28" s="453"/>
      <c r="H28" s="454"/>
      <c r="I28" s="454"/>
      <c r="J28" s="454"/>
      <c r="K28" s="455"/>
    </row>
    <row r="29" spans="2:58" ht="50.25" customHeight="1" thickBot="1">
      <c r="B29" s="439"/>
      <c r="C29" s="151">
        <v>5</v>
      </c>
      <c r="D29" s="193" t="s">
        <v>218</v>
      </c>
      <c r="E29" s="177" t="s">
        <v>266</v>
      </c>
      <c r="F29" s="178">
        <f t="shared" si="3"/>
        <v>1</v>
      </c>
      <c r="G29" s="543"/>
      <c r="H29" s="544"/>
      <c r="I29" s="544"/>
      <c r="J29" s="544"/>
      <c r="K29" s="545"/>
    </row>
    <row r="30" spans="2:58" ht="47.25" customHeight="1">
      <c r="B30" s="439"/>
      <c r="C30" s="131">
        <v>6</v>
      </c>
      <c r="D30" s="192" t="s">
        <v>220</v>
      </c>
      <c r="E30" s="140" t="s">
        <v>266</v>
      </c>
      <c r="F30" s="135">
        <f>IF(E30="Yes",7,0)</f>
        <v>7</v>
      </c>
      <c r="G30" s="560"/>
      <c r="H30" s="561"/>
      <c r="I30" s="561"/>
      <c r="J30" s="561"/>
      <c r="K30" s="562"/>
    </row>
    <row r="31" spans="2:58" ht="48.75" customHeight="1" thickBot="1">
      <c r="B31" s="440"/>
      <c r="C31" s="158">
        <v>7</v>
      </c>
      <c r="D31" s="194" t="s">
        <v>221</v>
      </c>
      <c r="E31" s="179" t="s">
        <v>266</v>
      </c>
      <c r="F31" s="180">
        <f>IF(E31="Yes",7,0)</f>
        <v>7</v>
      </c>
      <c r="G31" s="543"/>
      <c r="H31" s="544"/>
      <c r="I31" s="544"/>
      <c r="J31" s="544"/>
      <c r="K31" s="545"/>
    </row>
    <row r="32" spans="2:58" ht="48.75" customHeight="1">
      <c r="B32" s="438" t="s">
        <v>257</v>
      </c>
      <c r="C32" s="227">
        <v>1</v>
      </c>
      <c r="D32" s="206" t="s">
        <v>222</v>
      </c>
      <c r="E32" s="181" t="s">
        <v>266</v>
      </c>
      <c r="F32" s="182">
        <f t="shared" si="3"/>
        <v>1</v>
      </c>
      <c r="G32" s="456"/>
      <c r="H32" s="457"/>
      <c r="I32" s="457"/>
      <c r="J32" s="457"/>
      <c r="K32" s="458"/>
    </row>
    <row r="33" spans="2:11" ht="53.25" customHeight="1">
      <c r="B33" s="439"/>
      <c r="C33" s="143">
        <v>2</v>
      </c>
      <c r="D33" s="203" t="s">
        <v>223</v>
      </c>
      <c r="E33" s="177" t="s">
        <v>266</v>
      </c>
      <c r="F33" s="178">
        <f>IF(E33="Yes",5,0)</f>
        <v>5</v>
      </c>
      <c r="G33" s="444"/>
      <c r="H33" s="445"/>
      <c r="I33" s="445"/>
      <c r="J33" s="445"/>
      <c r="K33" s="446"/>
    </row>
    <row r="34" spans="2:11" ht="45.75" customHeight="1">
      <c r="B34" s="439"/>
      <c r="C34" s="131">
        <v>3</v>
      </c>
      <c r="D34" s="202" t="s">
        <v>224</v>
      </c>
      <c r="E34" s="140" t="s">
        <v>266</v>
      </c>
      <c r="F34" s="135">
        <f>IF(E34="Yes",5,0)</f>
        <v>5</v>
      </c>
      <c r="G34" s="453"/>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465"/>
      <c r="H37" s="466"/>
      <c r="I37" s="466"/>
      <c r="J37" s="466"/>
      <c r="K37" s="467"/>
    </row>
    <row r="38" spans="2:11" ht="50.25"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266</v>
      </c>
      <c r="F39" s="178">
        <f>IF(OR(E39="Yes",E39="NA"),7,0)</f>
        <v>7</v>
      </c>
      <c r="G39" s="465"/>
      <c r="H39" s="466"/>
      <c r="I39" s="466"/>
      <c r="J39" s="466"/>
      <c r="K39" s="46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462"/>
      <c r="H41" s="463"/>
      <c r="I41" s="463"/>
      <c r="J41" s="463"/>
      <c r="K41" s="464"/>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266</v>
      </c>
      <c r="F44" s="135">
        <f>IF(E44="Yes",1,0)</f>
        <v>1</v>
      </c>
      <c r="G44" s="453"/>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315</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266</v>
      </c>
      <c r="F53" s="190">
        <f>IF(E53="Yes",1,0)</f>
        <v>1</v>
      </c>
      <c r="G53" s="444"/>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9">
    <mergeCell ref="I14:J14"/>
    <mergeCell ref="B1:D2"/>
    <mergeCell ref="C3:D3"/>
    <mergeCell ref="C4:D4"/>
    <mergeCell ref="H4:J4"/>
    <mergeCell ref="C5:D5"/>
    <mergeCell ref="B7:B9"/>
    <mergeCell ref="C7:D7"/>
    <mergeCell ref="C8:D9"/>
    <mergeCell ref="C11:D11"/>
    <mergeCell ref="C12:D12"/>
    <mergeCell ref="C13:D13"/>
    <mergeCell ref="C14:D14"/>
    <mergeCell ref="G14:H14"/>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G23:K23"/>
    <mergeCell ref="B36:B40"/>
    <mergeCell ref="G36:K36"/>
    <mergeCell ref="G38:K38"/>
    <mergeCell ref="G40:K40"/>
    <mergeCell ref="B24:D24"/>
    <mergeCell ref="G24:K24"/>
    <mergeCell ref="B25:B31"/>
    <mergeCell ref="G25:K25"/>
    <mergeCell ref="G26:K26"/>
    <mergeCell ref="G27:K27"/>
    <mergeCell ref="G28:K28"/>
    <mergeCell ref="G30:K30"/>
    <mergeCell ref="G31:K31"/>
    <mergeCell ref="G37:K37"/>
    <mergeCell ref="G29:K29"/>
    <mergeCell ref="G41:K41"/>
    <mergeCell ref="B49:B53"/>
    <mergeCell ref="G49:K49"/>
    <mergeCell ref="G50:K50"/>
    <mergeCell ref="G51:K51"/>
    <mergeCell ref="G52:K52"/>
    <mergeCell ref="G53:K53"/>
    <mergeCell ref="G39:K39"/>
    <mergeCell ref="G20:K20"/>
    <mergeCell ref="B46:B48"/>
    <mergeCell ref="G46:K46"/>
    <mergeCell ref="G47:K47"/>
    <mergeCell ref="G48:K48"/>
    <mergeCell ref="B41:B45"/>
    <mergeCell ref="G42:K42"/>
    <mergeCell ref="G43:K43"/>
    <mergeCell ref="B32:B35"/>
    <mergeCell ref="G32:K32"/>
    <mergeCell ref="G33:K33"/>
    <mergeCell ref="G34:K34"/>
    <mergeCell ref="G35:K35"/>
    <mergeCell ref="G44:K44"/>
    <mergeCell ref="G45:K45"/>
  </mergeCells>
  <conditionalFormatting sqref="E17:E23">
    <cfRule type="notContainsText" dxfId="287" priority="9" operator="notContains" text="YES">
      <formula>ISERROR(SEARCH("YES",E17))</formula>
    </cfRule>
  </conditionalFormatting>
  <conditionalFormatting sqref="E43:E53">
    <cfRule type="containsText" dxfId="286" priority="7" operator="containsText" text="No">
      <formula>NOT(ISERROR(SEARCH("No",E43)))</formula>
    </cfRule>
  </conditionalFormatting>
  <conditionalFormatting sqref="E25:F42">
    <cfRule type="containsText" dxfId="285" priority="8" operator="containsText" text="No">
      <formula>NOT(ISERROR(SEARCH("No",E25)))</formula>
    </cfRule>
  </conditionalFormatting>
  <conditionalFormatting sqref="H4:J4">
    <cfRule type="cellIs" dxfId="284" priority="1" operator="equal">
      <formula>"NO PASA"</formula>
    </cfRule>
    <cfRule type="cellIs" dxfId="283" priority="2" operator="equal">
      <formula>"NO PASA"</formula>
    </cfRule>
    <cfRule type="cellIs" dxfId="282" priority="3" operator="equal">
      <formula>"PASA"</formula>
    </cfRule>
    <cfRule type="cellIs" dxfId="281" priority="4" operator="equal">
      <formula>"PASA"</formula>
    </cfRule>
    <cfRule type="cellIs" dxfId="280" priority="5" operator="equal">
      <formula>"NO PASA"</formula>
    </cfRule>
    <cfRule type="containsText" dxfId="279" priority="6" operator="containsText" text="PASA">
      <formula>NOT(ISERROR(SEARCH("PASA",H4)))</formula>
    </cfRule>
    <cfRule type="cellIs" dxfId="278" priority="13" operator="equal">
      <formula>$BC$7</formula>
    </cfRule>
    <cfRule type="cellIs" dxfId="277" priority="14" operator="equal">
      <formula>$BC$6</formula>
    </cfRule>
    <cfRule type="cellIs" dxfId="276" priority="15" operator="equal">
      <formula>$BC$4</formula>
    </cfRule>
  </conditionalFormatting>
  <conditionalFormatting sqref="I14">
    <cfRule type="cellIs" dxfId="275" priority="10" operator="greaterThanOrEqual">
      <formula>0.9</formula>
    </cfRule>
    <cfRule type="cellIs" dxfId="274" priority="11" operator="between">
      <formula>0.71</formula>
      <formula>0.9</formula>
    </cfRule>
    <cfRule type="cellIs" dxfId="273" priority="12" operator="lessThan">
      <formula>0.71</formula>
    </cfRule>
  </conditionalFormatting>
  <dataValidations count="3">
    <dataValidation type="list" allowBlank="1" showInputMessage="1" showErrorMessage="1" sqref="E17:E23" xr:uid="{00000000-0002-0000-0600-000000000000}">
      <formula1>"Yes,No,Cured in Moment"</formula1>
    </dataValidation>
    <dataValidation type="list" allowBlank="1" showInputMessage="1" showErrorMessage="1" sqref="E52:E53 E25:E37 E40:E49" xr:uid="{00000000-0002-0000-0600-000001000000}">
      <formula1>"Yes,No"</formula1>
    </dataValidation>
    <dataValidation type="list" allowBlank="1" showInputMessage="1" showErrorMessage="1" sqref="E38:E39 E50:E51" xr:uid="{00000000-0002-0000-0600-000002000000}">
      <formula1>"Yes,No,NA"</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249977111117893"/>
  </sheetPr>
  <dimension ref="B1:H103"/>
  <sheetViews>
    <sheetView zoomScale="50" zoomScaleNormal="50" workbookViewId="0">
      <selection activeCell="D10" sqref="D10"/>
    </sheetView>
  </sheetViews>
  <sheetFormatPr baseColWidth="10" defaultColWidth="8.85546875" defaultRowHeight="18"/>
  <cols>
    <col min="1" max="1" width="4.42578125" style="124" customWidth="1"/>
    <col min="2" max="2" width="48.7109375" style="122"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63.75" customHeight="1">
      <c r="B7" s="295" t="s">
        <v>396</v>
      </c>
      <c r="C7" s="130" t="s">
        <v>378</v>
      </c>
      <c r="D7" s="284" t="s">
        <v>387</v>
      </c>
      <c r="E7" s="130"/>
      <c r="F7" s="134"/>
    </row>
    <row r="8" spans="2:8" ht="91.5" customHeight="1">
      <c r="B8" s="297" t="s">
        <v>397</v>
      </c>
      <c r="C8" s="130" t="s">
        <v>378</v>
      </c>
      <c r="D8" s="284">
        <v>46295</v>
      </c>
      <c r="E8" s="131"/>
      <c r="F8" s="135"/>
    </row>
    <row r="9" spans="2:8" ht="74.25" customHeight="1">
      <c r="B9" s="297" t="s">
        <v>398</v>
      </c>
      <c r="C9" s="130" t="s">
        <v>378</v>
      </c>
      <c r="D9" s="284">
        <v>46295</v>
      </c>
      <c r="E9" s="127"/>
      <c r="F9" s="136"/>
    </row>
    <row r="10" spans="2:8" ht="61.5" customHeight="1">
      <c r="B10" s="297"/>
      <c r="C10" s="130"/>
      <c r="D10" s="284"/>
      <c r="E10" s="131"/>
      <c r="F10" s="136"/>
    </row>
    <row r="11" spans="2:8" ht="62.25" customHeight="1">
      <c r="B11" s="297"/>
      <c r="C11" s="130"/>
      <c r="D11" s="284"/>
      <c r="E11" s="131"/>
      <c r="F11" s="136"/>
    </row>
    <row r="12" spans="2:8">
      <c r="B12" s="295"/>
      <c r="C12" s="131"/>
      <c r="D12" s="307"/>
      <c r="E12" s="131"/>
      <c r="F12" s="136"/>
    </row>
    <row r="13" spans="2:8" s="126" customFormat="1" ht="30.95" customHeight="1">
      <c r="B13" s="297"/>
      <c r="C13" s="297"/>
      <c r="D13" s="307"/>
      <c r="E13" s="131"/>
      <c r="F13" s="136"/>
    </row>
    <row r="14" spans="2:8" ht="39.950000000000003" customHeight="1">
      <c r="B14" s="297"/>
      <c r="C14" s="131"/>
      <c r="D14" s="131"/>
      <c r="E14" s="131"/>
      <c r="F14" s="136"/>
    </row>
    <row r="15" spans="2:8" ht="39.950000000000003" customHeight="1">
      <c r="B15" s="141"/>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268</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2:E2"/>
    <mergeCell ref="B3:F3"/>
    <mergeCell ref="B4:F4"/>
    <mergeCell ref="B5:B6"/>
    <mergeCell ref="C5:C6"/>
    <mergeCell ref="D5:D6"/>
    <mergeCell ref="E5:E6"/>
    <mergeCell ref="F5:F6"/>
    <mergeCell ref="B18:F18"/>
    <mergeCell ref="B19:F19"/>
    <mergeCell ref="B20:B21"/>
    <mergeCell ref="C20:C21"/>
    <mergeCell ref="D20:D21"/>
    <mergeCell ref="E20:E21"/>
    <mergeCell ref="F20:F21"/>
    <mergeCell ref="B32:F32"/>
    <mergeCell ref="B33:F33"/>
    <mergeCell ref="B34:B35"/>
    <mergeCell ref="C34:C35"/>
    <mergeCell ref="D34:D35"/>
    <mergeCell ref="E34:E35"/>
    <mergeCell ref="F34:F35"/>
  </mergeCells>
  <conditionalFormatting sqref="F31">
    <cfRule type="expression" dxfId="272" priority="1" stopIfTrue="1">
      <formula>IF($E31="NA",TRUE,FALSE)</formula>
    </cfRule>
  </conditionalFormatting>
  <dataValidations count="3">
    <dataValidation type="list" allowBlank="1" showInputMessage="1" showErrorMessage="1" sqref="E31" xr:uid="{00000000-0002-0000-0700-000000000000}">
      <formula1>"Yes,No,NA"</formula1>
    </dataValidation>
    <dataValidation type="list" allowBlank="1" showInputMessage="1" showErrorMessage="1" sqref="E17" xr:uid="{00000000-0002-0000-0700-000001000000}">
      <formula1>"Yes,No"</formula1>
    </dataValidation>
    <dataValidation type="list" allowBlank="1" showInputMessage="1" showErrorMessage="1" sqref="E5:E6 E20:E21 E34:E35" xr:uid="{00000000-0002-0000-0700-000002000000}">
      <formula1>"Yes,No,Cured in Moment"</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tint="0.79998168889431442"/>
  </sheetPr>
  <dimension ref="B1:BF56"/>
  <sheetViews>
    <sheetView zoomScale="60" zoomScaleNormal="60" workbookViewId="0">
      <selection activeCell="G11" sqref="G11"/>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9.5703125" style="124" bestFit="1"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60.75" customHeight="1" thickBot="1">
      <c r="B3" s="210" t="s">
        <v>208</v>
      </c>
      <c r="C3" s="546" t="s">
        <v>359</v>
      </c>
      <c r="D3" s="547"/>
      <c r="E3" s="161"/>
      <c r="G3" s="220"/>
      <c r="H3" s="220"/>
      <c r="I3" s="220"/>
      <c r="J3" s="220"/>
    </row>
    <row r="4" spans="2:55" ht="114" customHeight="1" thickBot="1">
      <c r="B4" s="211" t="s">
        <v>275</v>
      </c>
      <c r="C4" s="548" t="s">
        <v>358</v>
      </c>
      <c r="D4" s="549"/>
      <c r="E4" s="150"/>
      <c r="G4" s="186" t="s">
        <v>11</v>
      </c>
      <c r="H4" s="511" t="str">
        <f>IF(COUNTIF(BB6,"0")&gt;0,"PASA","NO PASA")</f>
        <v>PASA</v>
      </c>
      <c r="I4" s="512"/>
      <c r="J4" s="513"/>
      <c r="BA4" s="221" t="s">
        <v>174</v>
      </c>
      <c r="BB4" s="123">
        <f>COUNTIF(E17:F23,BA4)</f>
        <v>0</v>
      </c>
      <c r="BC4" s="225" t="s">
        <v>262</v>
      </c>
    </row>
    <row r="5" spans="2:55" ht="55.5" customHeight="1" thickBot="1">
      <c r="B5" s="236" t="s">
        <v>203</v>
      </c>
      <c r="C5" s="550">
        <v>46276</v>
      </c>
      <c r="D5" s="551"/>
      <c r="G5" s="228" t="s">
        <v>198</v>
      </c>
      <c r="H5" s="185" t="s">
        <v>3</v>
      </c>
      <c r="I5" s="229" t="s">
        <v>4</v>
      </c>
      <c r="J5" s="230" t="s">
        <v>5</v>
      </c>
      <c r="BC5" s="225"/>
    </row>
    <row r="6" spans="2:55" ht="48" customHeight="1" thickBot="1">
      <c r="C6" s="122"/>
      <c r="E6" s="128"/>
      <c r="G6" s="187" t="s">
        <v>254</v>
      </c>
      <c r="H6" s="160">
        <v>31</v>
      </c>
      <c r="I6" s="160">
        <f>SUM(F25:F31)</f>
        <v>31</v>
      </c>
      <c r="J6" s="167">
        <f t="shared" ref="J6:J9" si="0">I6/H6</f>
        <v>1</v>
      </c>
      <c r="BA6" s="221" t="s">
        <v>193</v>
      </c>
      <c r="BB6" s="123">
        <f>COUNTIF(E17:F23,BA6)</f>
        <v>0</v>
      </c>
      <c r="BC6" s="225" t="s">
        <v>263</v>
      </c>
    </row>
    <row r="7" spans="2:55" ht="48" customHeight="1" thickBot="1">
      <c r="B7" s="438" t="s">
        <v>243</v>
      </c>
      <c r="C7" s="516" t="s">
        <v>252</v>
      </c>
      <c r="D7" s="517"/>
      <c r="E7" s="164"/>
      <c r="G7" s="168" t="s">
        <v>199</v>
      </c>
      <c r="H7" s="169">
        <v>18</v>
      </c>
      <c r="I7" s="169">
        <f>SUM(F32:F35)</f>
        <v>18</v>
      </c>
      <c r="J7" s="170">
        <f t="shared" si="0"/>
        <v>1</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19</v>
      </c>
      <c r="J9" s="170">
        <f t="shared" si="0"/>
        <v>1</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5</v>
      </c>
      <c r="J11" s="170">
        <f t="shared" ref="J11:J12" si="1">I11/H11</f>
        <v>1</v>
      </c>
    </row>
    <row r="12" spans="2:55" ht="72.75" customHeight="1" thickBot="1">
      <c r="B12" s="219" t="s">
        <v>244</v>
      </c>
      <c r="C12" s="524" t="s">
        <v>246</v>
      </c>
      <c r="D12" s="525"/>
      <c r="E12" s="166"/>
      <c r="G12" s="198" t="s">
        <v>271</v>
      </c>
      <c r="H12" s="199">
        <f>SUM(H6:H11)</f>
        <v>117</v>
      </c>
      <c r="I12" s="199">
        <f>SUM(I6:I11)</f>
        <v>117</v>
      </c>
      <c r="J12" s="200">
        <f t="shared" si="1"/>
        <v>1</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1</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G20" s="435"/>
      <c r="H20" s="436"/>
      <c r="I20" s="436"/>
      <c r="J20" s="436"/>
      <c r="K20" s="437"/>
      <c r="V20" s="122"/>
      <c r="AY20" s="172" t="str">
        <f t="shared" si="2"/>
        <v>Yes</v>
      </c>
      <c r="BA20" s="222"/>
      <c r="BB20" s="122"/>
      <c r="BC20" s="122"/>
    </row>
    <row r="21" spans="2:58" s="172" customFormat="1" ht="45.95" customHeight="1">
      <c r="B21" s="439"/>
      <c r="C21" s="214">
        <v>5</v>
      </c>
      <c r="D21" s="215" t="s">
        <v>213</v>
      </c>
      <c r="E21" s="496" t="s">
        <v>266</v>
      </c>
      <c r="F21" s="497"/>
      <c r="G21" s="493"/>
      <c r="H21" s="494"/>
      <c r="I21" s="494"/>
      <c r="J21" s="494"/>
      <c r="K21" s="495"/>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450"/>
      <c r="H25" s="451"/>
      <c r="I25" s="451"/>
      <c r="J25" s="451"/>
      <c r="K25" s="452"/>
    </row>
    <row r="26" spans="2:58" ht="45.95" customHeight="1">
      <c r="B26" s="439"/>
      <c r="C26" s="127">
        <v>2</v>
      </c>
      <c r="D26" s="192" t="s">
        <v>219</v>
      </c>
      <c r="E26" s="140" t="s">
        <v>266</v>
      </c>
      <c r="F26" s="135">
        <f>IF(E26="Yes",5,0)</f>
        <v>5</v>
      </c>
      <c r="G26" s="453"/>
      <c r="H26" s="454"/>
      <c r="I26" s="454"/>
      <c r="J26" s="454"/>
      <c r="K26" s="455"/>
    </row>
    <row r="27" spans="2:58" ht="45.95" customHeight="1">
      <c r="B27" s="439"/>
      <c r="C27" s="143">
        <v>3</v>
      </c>
      <c r="D27" s="193" t="s">
        <v>216</v>
      </c>
      <c r="E27" s="177" t="s">
        <v>266</v>
      </c>
      <c r="F27" s="178">
        <f>IF(E27="Yes",5,0)</f>
        <v>5</v>
      </c>
      <c r="G27" s="444"/>
      <c r="H27" s="445"/>
      <c r="I27" s="445"/>
      <c r="J27" s="445"/>
      <c r="K27" s="446"/>
    </row>
    <row r="28" spans="2:58" ht="51.75" customHeight="1">
      <c r="B28" s="439"/>
      <c r="C28" s="127">
        <v>4</v>
      </c>
      <c r="D28" s="192" t="s">
        <v>217</v>
      </c>
      <c r="E28" s="140" t="s">
        <v>266</v>
      </c>
      <c r="F28" s="135">
        <f t="shared" ref="F28:F32" si="3">IF(E28="Yes",1,0)</f>
        <v>1</v>
      </c>
      <c r="G28" s="453"/>
      <c r="H28" s="454"/>
      <c r="I28" s="454"/>
      <c r="J28" s="454"/>
      <c r="K28" s="455"/>
    </row>
    <row r="29" spans="2:58" ht="50.25" customHeight="1">
      <c r="B29" s="439"/>
      <c r="C29" s="151">
        <v>5</v>
      </c>
      <c r="D29" s="193" t="s">
        <v>218</v>
      </c>
      <c r="E29" s="177" t="s">
        <v>266</v>
      </c>
      <c r="F29" s="178">
        <f t="shared" si="3"/>
        <v>1</v>
      </c>
      <c r="G29" s="465"/>
      <c r="H29" s="466"/>
      <c r="I29" s="466"/>
      <c r="J29" s="466"/>
      <c r="K29" s="467"/>
    </row>
    <row r="30" spans="2:58" ht="47.25" customHeight="1">
      <c r="B30" s="439"/>
      <c r="C30" s="131">
        <v>6</v>
      </c>
      <c r="D30" s="192" t="s">
        <v>220</v>
      </c>
      <c r="E30" s="140" t="s">
        <v>266</v>
      </c>
      <c r="F30" s="135">
        <f>IF(E30="Yes",7,0)</f>
        <v>7</v>
      </c>
      <c r="G30" s="435"/>
      <c r="H30" s="436"/>
      <c r="I30" s="436"/>
      <c r="J30" s="436"/>
      <c r="K30" s="437"/>
    </row>
    <row r="31" spans="2:58" ht="48.75" customHeight="1" thickBot="1">
      <c r="B31" s="440"/>
      <c r="C31" s="158">
        <v>7</v>
      </c>
      <c r="D31" s="194" t="s">
        <v>221</v>
      </c>
      <c r="E31" s="179" t="s">
        <v>266</v>
      </c>
      <c r="F31" s="180">
        <f>IF(E31="Yes",7,0)</f>
        <v>7</v>
      </c>
      <c r="G31" s="155"/>
      <c r="H31" s="156"/>
      <c r="I31" s="156"/>
      <c r="J31" s="156"/>
      <c r="K31" s="157"/>
    </row>
    <row r="32" spans="2:58" ht="48.75" customHeight="1">
      <c r="B32" s="438" t="s">
        <v>257</v>
      </c>
      <c r="C32" s="227">
        <v>1</v>
      </c>
      <c r="D32" s="206" t="s">
        <v>222</v>
      </c>
      <c r="E32" s="181" t="s">
        <v>266</v>
      </c>
      <c r="F32" s="182">
        <f t="shared" si="3"/>
        <v>1</v>
      </c>
      <c r="G32" s="456"/>
      <c r="H32" s="457"/>
      <c r="I32" s="457"/>
      <c r="J32" s="457"/>
      <c r="K32" s="458"/>
    </row>
    <row r="33" spans="2:11" ht="45.95" customHeight="1">
      <c r="B33" s="439"/>
      <c r="C33" s="143">
        <v>2</v>
      </c>
      <c r="D33" s="203" t="s">
        <v>223</v>
      </c>
      <c r="E33" s="177" t="s">
        <v>266</v>
      </c>
      <c r="F33" s="178">
        <f>IF(E33="Yes",5,0)</f>
        <v>5</v>
      </c>
      <c r="G33" s="444"/>
      <c r="H33" s="445"/>
      <c r="I33" s="445"/>
      <c r="J33" s="445"/>
      <c r="K33" s="446"/>
    </row>
    <row r="34" spans="2:11" ht="45.95" customHeight="1">
      <c r="B34" s="439"/>
      <c r="C34" s="131">
        <v>3</v>
      </c>
      <c r="D34" s="202" t="s">
        <v>224</v>
      </c>
      <c r="E34" s="140" t="s">
        <v>266</v>
      </c>
      <c r="F34" s="135">
        <f>IF(E34="Yes",5,0)</f>
        <v>5</v>
      </c>
      <c r="G34" s="453"/>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195"/>
      <c r="H37" s="196"/>
      <c r="I37" s="196"/>
      <c r="J37" s="196"/>
      <c r="K37" s="197"/>
    </row>
    <row r="38" spans="2:11" ht="50.25"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315</v>
      </c>
      <c r="F39" s="178">
        <f>IF(OR(E39="Yes",E39="NA"),7,0)</f>
        <v>7</v>
      </c>
      <c r="G39" s="195"/>
      <c r="H39" s="196"/>
      <c r="I39" s="196"/>
      <c r="J39" s="196"/>
      <c r="K39" s="19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462"/>
      <c r="H41" s="463"/>
      <c r="I41" s="463"/>
      <c r="J41" s="463"/>
      <c r="K41" s="148"/>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266</v>
      </c>
      <c r="F44" s="135">
        <f>IF(E44="Yes",1,0)</f>
        <v>1</v>
      </c>
      <c r="G44" s="453"/>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266</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266</v>
      </c>
      <c r="F53" s="190">
        <f>IF(E53="Yes",1,0)</f>
        <v>1</v>
      </c>
      <c r="G53" s="444"/>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6">
    <mergeCell ref="B46:B48"/>
    <mergeCell ref="G46:K46"/>
    <mergeCell ref="G47:K47"/>
    <mergeCell ref="G48:K48"/>
    <mergeCell ref="B49:B53"/>
    <mergeCell ref="G49:K49"/>
    <mergeCell ref="G50:K50"/>
    <mergeCell ref="G51:K51"/>
    <mergeCell ref="G52:K52"/>
    <mergeCell ref="G53:K53"/>
    <mergeCell ref="B41:B45"/>
    <mergeCell ref="G42:K42"/>
    <mergeCell ref="G43:K43"/>
    <mergeCell ref="B32:B35"/>
    <mergeCell ref="G32:K32"/>
    <mergeCell ref="G33:K33"/>
    <mergeCell ref="G34:K34"/>
    <mergeCell ref="G35:K35"/>
    <mergeCell ref="G44:K44"/>
    <mergeCell ref="G45:K45"/>
    <mergeCell ref="G41:J41"/>
    <mergeCell ref="B36:B40"/>
    <mergeCell ref="G36:K36"/>
    <mergeCell ref="G38:K38"/>
    <mergeCell ref="G40:K40"/>
    <mergeCell ref="B24:D24"/>
    <mergeCell ref="G24:K24"/>
    <mergeCell ref="B25:B31"/>
    <mergeCell ref="G25:K25"/>
    <mergeCell ref="G26:K26"/>
    <mergeCell ref="G27:K27"/>
    <mergeCell ref="G28:K28"/>
    <mergeCell ref="G29:K29"/>
    <mergeCell ref="G30:K30"/>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G23:K23"/>
    <mergeCell ref="G20:K20"/>
    <mergeCell ref="I14:J14"/>
    <mergeCell ref="B1:D2"/>
    <mergeCell ref="C3:D3"/>
    <mergeCell ref="C4:D4"/>
    <mergeCell ref="H4:J4"/>
    <mergeCell ref="C5:D5"/>
    <mergeCell ref="B7:B9"/>
    <mergeCell ref="C7:D7"/>
    <mergeCell ref="C8:D9"/>
    <mergeCell ref="C11:D11"/>
    <mergeCell ref="C12:D12"/>
    <mergeCell ref="C13:D13"/>
    <mergeCell ref="C14:D14"/>
    <mergeCell ref="G14:H14"/>
    <mergeCell ref="B16:D16"/>
  </mergeCells>
  <conditionalFormatting sqref="E17:E23">
    <cfRule type="notContainsText" dxfId="271" priority="9" operator="notContains" text="YES">
      <formula>ISERROR(SEARCH("YES",E17))</formula>
    </cfRule>
  </conditionalFormatting>
  <conditionalFormatting sqref="E43:E53">
    <cfRule type="containsText" dxfId="270" priority="7" operator="containsText" text="No">
      <formula>NOT(ISERROR(SEARCH("No",E43)))</formula>
    </cfRule>
  </conditionalFormatting>
  <conditionalFormatting sqref="E25:F42">
    <cfRule type="containsText" dxfId="269" priority="8" operator="containsText" text="No">
      <formula>NOT(ISERROR(SEARCH("No",E25)))</formula>
    </cfRule>
  </conditionalFormatting>
  <conditionalFormatting sqref="H4:J4">
    <cfRule type="cellIs" dxfId="268" priority="1" operator="equal">
      <formula>"NO PASA"</formula>
    </cfRule>
    <cfRule type="cellIs" dxfId="267" priority="2" operator="equal">
      <formula>"NO PASA"</formula>
    </cfRule>
    <cfRule type="cellIs" dxfId="266" priority="3" operator="equal">
      <formula>"PASA"</formula>
    </cfRule>
    <cfRule type="cellIs" dxfId="265" priority="4" operator="equal">
      <formula>"PASA"</formula>
    </cfRule>
    <cfRule type="cellIs" dxfId="264" priority="5" operator="equal">
      <formula>"NO PASA"</formula>
    </cfRule>
    <cfRule type="containsText" dxfId="263" priority="6" operator="containsText" text="PASA">
      <formula>NOT(ISERROR(SEARCH("PASA",H4)))</formula>
    </cfRule>
    <cfRule type="cellIs" dxfId="262" priority="13" operator="equal">
      <formula>$BC$7</formula>
    </cfRule>
    <cfRule type="cellIs" dxfId="261" priority="14" operator="equal">
      <formula>$BC$6</formula>
    </cfRule>
    <cfRule type="cellIs" dxfId="260" priority="15" operator="equal">
      <formula>$BC$4</formula>
    </cfRule>
  </conditionalFormatting>
  <conditionalFormatting sqref="I14">
    <cfRule type="cellIs" dxfId="259" priority="10" operator="greaterThanOrEqual">
      <formula>0.9</formula>
    </cfRule>
    <cfRule type="cellIs" dxfId="258" priority="11" operator="between">
      <formula>0.71</formula>
      <formula>0.9</formula>
    </cfRule>
    <cfRule type="cellIs" dxfId="257" priority="12" operator="lessThan">
      <formula>0.71</formula>
    </cfRule>
  </conditionalFormatting>
  <dataValidations count="3">
    <dataValidation type="list" allowBlank="1" showInputMessage="1" showErrorMessage="1" sqref="E17:E23" xr:uid="{00000000-0002-0000-2600-000000000000}">
      <formula1>"Yes,No,Cured in Moment"</formula1>
    </dataValidation>
    <dataValidation type="list" allowBlank="1" showInputMessage="1" showErrorMessage="1" sqref="E52:E53 E25:E37 E40:E49" xr:uid="{00000000-0002-0000-2600-000001000000}">
      <formula1>"Yes,No"</formula1>
    </dataValidation>
    <dataValidation type="list" allowBlank="1" showInputMessage="1" showErrorMessage="1" sqref="E38:E39 E50:E51" xr:uid="{00000000-0002-0000-2600-000002000000}">
      <formula1>"Yes,No,NA"</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tint="0.79998168889431442"/>
  </sheetPr>
  <dimension ref="B1:H103"/>
  <sheetViews>
    <sheetView zoomScale="50" zoomScaleNormal="50" workbookViewId="0">
      <selection activeCell="B7" sqref="B7:D10"/>
    </sheetView>
  </sheetViews>
  <sheetFormatPr baseColWidth="10" defaultColWidth="8.85546875" defaultRowHeight="18"/>
  <cols>
    <col min="1" max="1" width="4.42578125" style="124" customWidth="1"/>
    <col min="2" max="2" width="40.140625" style="122"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61.5" customHeight="1">
      <c r="B7" s="296"/>
      <c r="C7" s="309"/>
      <c r="D7" s="284"/>
      <c r="E7" s="130"/>
      <c r="F7" s="134"/>
    </row>
    <row r="8" spans="2:8" ht="111" customHeight="1">
      <c r="B8" s="308"/>
      <c r="C8" s="309"/>
      <c r="D8" s="284"/>
      <c r="E8" s="127"/>
      <c r="F8" s="135"/>
    </row>
    <row r="9" spans="2:8" ht="86.25" customHeight="1">
      <c r="B9" s="296"/>
      <c r="C9" s="309"/>
      <c r="D9" s="284"/>
      <c r="E9" s="127"/>
      <c r="F9" s="136"/>
    </row>
    <row r="10" spans="2:8" ht="78.75" customHeight="1">
      <c r="B10" s="296"/>
      <c r="C10" s="309"/>
      <c r="D10" s="284"/>
      <c r="E10" s="131"/>
      <c r="F10" s="136"/>
    </row>
    <row r="11" spans="2:8" ht="62.25" customHeight="1">
      <c r="B11" s="296"/>
      <c r="C11" s="309"/>
      <c r="D11" s="284"/>
      <c r="E11" s="131"/>
      <c r="F11" s="136"/>
    </row>
    <row r="12" spans="2:8" ht="44.1" customHeight="1">
      <c r="B12" s="141"/>
      <c r="C12" s="309"/>
      <c r="D12" s="309"/>
      <c r="E12" s="131"/>
      <c r="F12" s="136"/>
    </row>
    <row r="13" spans="2:8" s="126" customFormat="1" ht="30.95" customHeight="1">
      <c r="B13" s="141"/>
      <c r="C13" s="131"/>
      <c r="D13" s="131"/>
      <c r="E13" s="131"/>
      <c r="F13" s="136"/>
    </row>
    <row r="14" spans="2:8" ht="39.950000000000003" customHeight="1">
      <c r="B14" s="141"/>
      <c r="C14" s="131"/>
      <c r="D14" s="131"/>
      <c r="E14" s="131"/>
      <c r="F14" s="136"/>
    </row>
    <row r="15" spans="2:8" ht="39.950000000000003" customHeight="1">
      <c r="B15" s="141"/>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316</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32:F32"/>
    <mergeCell ref="B33:F33"/>
    <mergeCell ref="B34:B35"/>
    <mergeCell ref="C34:C35"/>
    <mergeCell ref="D34:D35"/>
    <mergeCell ref="E34:E35"/>
    <mergeCell ref="F34:F35"/>
    <mergeCell ref="B18:F18"/>
    <mergeCell ref="B19:F19"/>
    <mergeCell ref="B20:B21"/>
    <mergeCell ref="C20:C21"/>
    <mergeCell ref="D20:D21"/>
    <mergeCell ref="E20:E21"/>
    <mergeCell ref="F20:F21"/>
    <mergeCell ref="B2:E2"/>
    <mergeCell ref="B3:F3"/>
    <mergeCell ref="B4:F4"/>
    <mergeCell ref="B5:B6"/>
    <mergeCell ref="C5:C6"/>
    <mergeCell ref="D5:D6"/>
    <mergeCell ref="E5:E6"/>
    <mergeCell ref="F5:F6"/>
  </mergeCells>
  <conditionalFormatting sqref="F31">
    <cfRule type="expression" dxfId="256" priority="1" stopIfTrue="1">
      <formula>IF($E31="NA",TRUE,FALSE)</formula>
    </cfRule>
  </conditionalFormatting>
  <dataValidations count="3">
    <dataValidation type="list" allowBlank="1" showInputMessage="1" showErrorMessage="1" sqref="E5:E6 E20:E21 E34:E35" xr:uid="{00000000-0002-0000-2700-000000000000}">
      <formula1>"Yes,No,Cured in Moment"</formula1>
    </dataValidation>
    <dataValidation type="list" allowBlank="1" showInputMessage="1" showErrorMessage="1" sqref="E17" xr:uid="{00000000-0002-0000-2700-000001000000}">
      <formula1>"Yes,No"</formula1>
    </dataValidation>
    <dataValidation type="list" allowBlank="1" showInputMessage="1" showErrorMessage="1" sqref="E31" xr:uid="{00000000-0002-0000-2700-000002000000}">
      <formula1>"Yes,No,NA"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39997558519241921"/>
  </sheetPr>
  <dimension ref="B1:BF56"/>
  <sheetViews>
    <sheetView zoomScale="60" zoomScaleNormal="60" workbookViewId="0">
      <selection activeCell="G24" sqref="G24:K24"/>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19.140625" style="124"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51" customHeight="1" thickBot="1">
      <c r="B3" s="210" t="s">
        <v>208</v>
      </c>
      <c r="C3" s="507" t="s">
        <v>361</v>
      </c>
      <c r="D3" s="508"/>
      <c r="E3" s="161"/>
      <c r="G3" s="220"/>
      <c r="H3" s="220"/>
      <c r="I3" s="220"/>
      <c r="J3" s="220"/>
    </row>
    <row r="4" spans="2:55" ht="80.25" customHeight="1" thickBot="1">
      <c r="B4" s="211" t="s">
        <v>275</v>
      </c>
      <c r="C4" s="509" t="s">
        <v>353</v>
      </c>
      <c r="D4" s="510"/>
      <c r="E4" s="150"/>
      <c r="G4" s="186" t="s">
        <v>11</v>
      </c>
      <c r="H4" s="511" t="str">
        <f>IF(COUNTIF(BB6,"0")&gt;0,"PASA","NO PASA")</f>
        <v>PASA</v>
      </c>
      <c r="I4" s="512"/>
      <c r="J4" s="513"/>
      <c r="BA4" s="221" t="s">
        <v>174</v>
      </c>
      <c r="BB4" s="123">
        <f>COUNTIF(E17:F23,BA4)</f>
        <v>0</v>
      </c>
      <c r="BC4" s="225" t="s">
        <v>262</v>
      </c>
    </row>
    <row r="5" spans="2:55" ht="45.75" customHeight="1" thickBot="1">
      <c r="B5" s="236" t="s">
        <v>203</v>
      </c>
      <c r="C5" s="514">
        <v>46277</v>
      </c>
      <c r="D5" s="515"/>
      <c r="G5" s="228" t="s">
        <v>198</v>
      </c>
      <c r="H5" s="185" t="s">
        <v>3</v>
      </c>
      <c r="I5" s="229" t="s">
        <v>4</v>
      </c>
      <c r="J5" s="230" t="s">
        <v>5</v>
      </c>
      <c r="BC5" s="225"/>
    </row>
    <row r="6" spans="2:55" ht="48" customHeight="1" thickBot="1">
      <c r="C6" s="122"/>
      <c r="E6" s="128"/>
      <c r="G6" s="187" t="s">
        <v>254</v>
      </c>
      <c r="H6" s="160">
        <v>31</v>
      </c>
      <c r="I6" s="160">
        <f>SUM(F25:F31)</f>
        <v>31</v>
      </c>
      <c r="J6" s="167">
        <f t="shared" ref="J6:J9" si="0">I6/H6</f>
        <v>1</v>
      </c>
      <c r="BA6" s="221" t="s">
        <v>193</v>
      </c>
      <c r="BB6" s="123">
        <f>COUNTIF(E17:F23,BA6)</f>
        <v>0</v>
      </c>
      <c r="BC6" s="225" t="s">
        <v>263</v>
      </c>
    </row>
    <row r="7" spans="2:55" ht="48" customHeight="1" thickBot="1">
      <c r="B7" s="438" t="s">
        <v>243</v>
      </c>
      <c r="C7" s="516" t="s">
        <v>252</v>
      </c>
      <c r="D7" s="517"/>
      <c r="E7" s="164"/>
      <c r="G7" s="168" t="s">
        <v>199</v>
      </c>
      <c r="H7" s="169">
        <v>18</v>
      </c>
      <c r="I7" s="169">
        <f>SUM(F32:F35)</f>
        <v>18</v>
      </c>
      <c r="J7" s="170">
        <f t="shared" si="0"/>
        <v>1</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19</v>
      </c>
      <c r="J9" s="170">
        <f t="shared" si="0"/>
        <v>1</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5</v>
      </c>
      <c r="J11" s="170">
        <f t="shared" ref="J11:J12" si="1">I11/H11</f>
        <v>1</v>
      </c>
    </row>
    <row r="12" spans="2:55" ht="72.75" customHeight="1" thickBot="1">
      <c r="B12" s="219" t="s">
        <v>244</v>
      </c>
      <c r="C12" s="524" t="s">
        <v>246</v>
      </c>
      <c r="D12" s="525"/>
      <c r="E12" s="166"/>
      <c r="G12" s="198" t="s">
        <v>271</v>
      </c>
      <c r="H12" s="199">
        <f>SUM(H6:H11)</f>
        <v>117</v>
      </c>
      <c r="I12" s="199">
        <f>SUM(I6:I11)</f>
        <v>117</v>
      </c>
      <c r="J12" s="200">
        <f t="shared" si="1"/>
        <v>1</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1</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K20" s="173"/>
      <c r="V20" s="122"/>
      <c r="AY20" s="172" t="str">
        <f t="shared" si="2"/>
        <v>Yes</v>
      </c>
      <c r="BA20" s="222"/>
      <c r="BB20" s="122"/>
      <c r="BC20" s="122"/>
    </row>
    <row r="21" spans="2:58" s="172" customFormat="1" ht="45.95" customHeight="1">
      <c r="B21" s="439"/>
      <c r="C21" s="214">
        <v>5</v>
      </c>
      <c r="D21" s="215" t="s">
        <v>213</v>
      </c>
      <c r="E21" s="496" t="s">
        <v>266</v>
      </c>
      <c r="F21" s="497"/>
      <c r="G21" s="493"/>
      <c r="H21" s="494"/>
      <c r="I21" s="494"/>
      <c r="J21" s="494"/>
      <c r="K21" s="495"/>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450"/>
      <c r="H25" s="451"/>
      <c r="I25" s="451"/>
      <c r="J25" s="451"/>
      <c r="K25" s="452"/>
    </row>
    <row r="26" spans="2:58" ht="45.95" customHeight="1">
      <c r="B26" s="439"/>
      <c r="C26" s="127">
        <v>2</v>
      </c>
      <c r="D26" s="192" t="s">
        <v>219</v>
      </c>
      <c r="E26" s="140" t="s">
        <v>266</v>
      </c>
      <c r="F26" s="135">
        <f>IF(E26="Yes",5,0)</f>
        <v>5</v>
      </c>
      <c r="G26" s="572"/>
      <c r="H26" s="570"/>
      <c r="I26" s="570"/>
      <c r="J26" s="570"/>
      <c r="K26" s="571"/>
    </row>
    <row r="27" spans="2:58" ht="45.95" customHeight="1">
      <c r="B27" s="439"/>
      <c r="C27" s="143">
        <v>3</v>
      </c>
      <c r="D27" s="193" t="s">
        <v>216</v>
      </c>
      <c r="E27" s="177" t="s">
        <v>266</v>
      </c>
      <c r="F27" s="178">
        <f>IF(E27="Yes",5,0)</f>
        <v>5</v>
      </c>
      <c r="G27" s="569"/>
      <c r="H27" s="570"/>
      <c r="I27" s="570"/>
      <c r="J27" s="570"/>
      <c r="K27" s="571"/>
    </row>
    <row r="28" spans="2:58" ht="51.75" customHeight="1">
      <c r="B28" s="439"/>
      <c r="C28" s="127">
        <v>4</v>
      </c>
      <c r="D28" s="192" t="s">
        <v>217</v>
      </c>
      <c r="E28" s="140" t="s">
        <v>266</v>
      </c>
      <c r="F28" s="135">
        <f t="shared" ref="F28:F32" si="3">IF(E28="Yes",1,0)</f>
        <v>1</v>
      </c>
      <c r="G28" s="572"/>
      <c r="H28" s="570"/>
      <c r="I28" s="570"/>
      <c r="J28" s="570"/>
      <c r="K28" s="571"/>
    </row>
    <row r="29" spans="2:58" ht="50.25" customHeight="1">
      <c r="B29" s="439"/>
      <c r="C29" s="151">
        <v>5</v>
      </c>
      <c r="D29" s="193" t="s">
        <v>218</v>
      </c>
      <c r="E29" s="177" t="s">
        <v>266</v>
      </c>
      <c r="F29" s="178">
        <f t="shared" si="3"/>
        <v>1</v>
      </c>
      <c r="G29" s="573"/>
      <c r="H29" s="574"/>
      <c r="I29" s="574"/>
      <c r="J29" s="574"/>
      <c r="K29" s="575"/>
    </row>
    <row r="30" spans="2:58" ht="47.25" customHeight="1">
      <c r="B30" s="439"/>
      <c r="C30" s="131">
        <v>6</v>
      </c>
      <c r="D30" s="192" t="s">
        <v>220</v>
      </c>
      <c r="E30" s="140" t="s">
        <v>266</v>
      </c>
      <c r="F30" s="135">
        <f>IF(E30="Yes",7,0)</f>
        <v>7</v>
      </c>
      <c r="G30" s="474"/>
      <c r="H30" s="475"/>
      <c r="I30" s="475"/>
      <c r="J30" s="475"/>
      <c r="K30" s="476"/>
    </row>
    <row r="31" spans="2:58" ht="48.75" customHeight="1" thickBot="1">
      <c r="B31" s="440"/>
      <c r="C31" s="158">
        <v>7</v>
      </c>
      <c r="D31" s="194" t="s">
        <v>221</v>
      </c>
      <c r="E31" s="179" t="s">
        <v>266</v>
      </c>
      <c r="F31" s="180">
        <f>IF(E31="Yes",7,0)</f>
        <v>7</v>
      </c>
      <c r="G31" s="573"/>
      <c r="H31" s="574"/>
      <c r="I31" s="574"/>
      <c r="J31" s="574"/>
      <c r="K31" s="575"/>
    </row>
    <row r="32" spans="2:58" ht="48.75" customHeight="1">
      <c r="B32" s="438" t="s">
        <v>257</v>
      </c>
      <c r="C32" s="227">
        <v>1</v>
      </c>
      <c r="D32" s="206" t="s">
        <v>222</v>
      </c>
      <c r="E32" s="181" t="s">
        <v>266</v>
      </c>
      <c r="F32" s="182">
        <f t="shared" si="3"/>
        <v>1</v>
      </c>
      <c r="G32" s="566"/>
      <c r="H32" s="567"/>
      <c r="I32" s="567"/>
      <c r="J32" s="567"/>
      <c r="K32" s="568"/>
    </row>
    <row r="33" spans="2:11" ht="45.95" customHeight="1">
      <c r="B33" s="439"/>
      <c r="C33" s="143">
        <v>2</v>
      </c>
      <c r="D33" s="203" t="s">
        <v>223</v>
      </c>
      <c r="E33" s="177" t="s">
        <v>266</v>
      </c>
      <c r="F33" s="178">
        <f>IF(E33="Yes",5,0)</f>
        <v>5</v>
      </c>
      <c r="G33" s="569"/>
      <c r="H33" s="570"/>
      <c r="I33" s="570"/>
      <c r="J33" s="570"/>
      <c r="K33" s="571"/>
    </row>
    <row r="34" spans="2:11" ht="45.95" customHeight="1">
      <c r="B34" s="439"/>
      <c r="C34" s="131">
        <v>3</v>
      </c>
      <c r="D34" s="202" t="s">
        <v>224</v>
      </c>
      <c r="E34" s="140" t="s">
        <v>266</v>
      </c>
      <c r="F34" s="135">
        <f>IF(E34="Yes",5,0)</f>
        <v>5</v>
      </c>
      <c r="G34" s="572"/>
      <c r="H34" s="570"/>
      <c r="I34" s="570"/>
      <c r="J34" s="570"/>
      <c r="K34" s="571"/>
    </row>
    <row r="35" spans="2:11" ht="48.75" customHeight="1" thickBot="1">
      <c r="B35" s="440"/>
      <c r="C35" s="158">
        <v>4</v>
      </c>
      <c r="D35" s="207" t="s">
        <v>225</v>
      </c>
      <c r="E35" s="179" t="s">
        <v>266</v>
      </c>
      <c r="F35" s="180">
        <f>IF(E35="Yes",7,0)</f>
        <v>7</v>
      </c>
      <c r="G35" s="459"/>
      <c r="H35" s="460"/>
      <c r="I35" s="460"/>
      <c r="J35" s="460"/>
      <c r="K35" s="461"/>
    </row>
    <row r="36" spans="2:11" ht="54.7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465"/>
      <c r="H37" s="466"/>
      <c r="I37" s="466"/>
      <c r="J37" s="466"/>
      <c r="K37" s="467"/>
    </row>
    <row r="38" spans="2:11" ht="50.25" customHeight="1">
      <c r="B38" s="439"/>
      <c r="C38" s="127">
        <v>3</v>
      </c>
      <c r="D38" s="202" t="s">
        <v>228</v>
      </c>
      <c r="E38" s="140" t="s">
        <v>315</v>
      </c>
      <c r="F38" s="135">
        <f>IF(OR(E38="Yes",E38="NA"),7,0)</f>
        <v>7</v>
      </c>
      <c r="G38" s="474"/>
      <c r="H38" s="475"/>
      <c r="I38" s="475"/>
      <c r="J38" s="475"/>
      <c r="K38" s="476"/>
    </row>
    <row r="39" spans="2:11" ht="68.25" customHeight="1">
      <c r="B39" s="439"/>
      <c r="C39" s="174">
        <v>4</v>
      </c>
      <c r="D39" s="203" t="s">
        <v>273</v>
      </c>
      <c r="E39" s="177" t="s">
        <v>315</v>
      </c>
      <c r="F39" s="178">
        <f>IF(OR(E39="Yes",E39="NA"),7,0)</f>
        <v>7</v>
      </c>
      <c r="G39" s="465"/>
      <c r="H39" s="466"/>
      <c r="I39" s="466"/>
      <c r="J39" s="466"/>
      <c r="K39" s="46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462"/>
      <c r="H41" s="463"/>
      <c r="I41" s="463"/>
      <c r="J41" s="463"/>
      <c r="K41" s="464"/>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266</v>
      </c>
      <c r="F44" s="135">
        <f>IF(E44="Yes",1,0)</f>
        <v>1</v>
      </c>
      <c r="G44" s="453"/>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315</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266</v>
      </c>
      <c r="F53" s="190">
        <f>IF(E53="Yes",1,0)</f>
        <v>1</v>
      </c>
      <c r="G53" s="444"/>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8">
    <mergeCell ref="I14:J14"/>
    <mergeCell ref="B1:D2"/>
    <mergeCell ref="C3:D3"/>
    <mergeCell ref="C4:D4"/>
    <mergeCell ref="H4:J4"/>
    <mergeCell ref="C5:D5"/>
    <mergeCell ref="B7:B9"/>
    <mergeCell ref="C7:D7"/>
    <mergeCell ref="C8:D9"/>
    <mergeCell ref="C11:D11"/>
    <mergeCell ref="C12:D12"/>
    <mergeCell ref="C13:D13"/>
    <mergeCell ref="C14:D14"/>
    <mergeCell ref="G14:H14"/>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G23:K23"/>
    <mergeCell ref="B36:B40"/>
    <mergeCell ref="G36:K36"/>
    <mergeCell ref="G38:K38"/>
    <mergeCell ref="G40:K40"/>
    <mergeCell ref="B24:D24"/>
    <mergeCell ref="G24:K24"/>
    <mergeCell ref="B25:B31"/>
    <mergeCell ref="G25:K25"/>
    <mergeCell ref="G26:K26"/>
    <mergeCell ref="G27:K27"/>
    <mergeCell ref="G28:K28"/>
    <mergeCell ref="G29:K29"/>
    <mergeCell ref="G30:K30"/>
    <mergeCell ref="G31:K31"/>
    <mergeCell ref="B41:B45"/>
    <mergeCell ref="G42:K42"/>
    <mergeCell ref="G43:K43"/>
    <mergeCell ref="B32:B35"/>
    <mergeCell ref="G32:K32"/>
    <mergeCell ref="G33:K33"/>
    <mergeCell ref="G34:K34"/>
    <mergeCell ref="G35:K35"/>
    <mergeCell ref="G44:K44"/>
    <mergeCell ref="G45:K45"/>
    <mergeCell ref="G41:K41"/>
    <mergeCell ref="G39:K39"/>
    <mergeCell ref="G37:K37"/>
    <mergeCell ref="B46:B48"/>
    <mergeCell ref="G46:K46"/>
    <mergeCell ref="G47:K47"/>
    <mergeCell ref="G48:K48"/>
    <mergeCell ref="B49:B53"/>
    <mergeCell ref="G49:K49"/>
    <mergeCell ref="G50:K50"/>
    <mergeCell ref="G51:K51"/>
    <mergeCell ref="G52:K52"/>
    <mergeCell ref="G53:K53"/>
  </mergeCells>
  <conditionalFormatting sqref="E17:E23">
    <cfRule type="notContainsText" dxfId="255" priority="9" operator="notContains" text="YES">
      <formula>ISERROR(SEARCH("YES",E17))</formula>
    </cfRule>
  </conditionalFormatting>
  <conditionalFormatting sqref="E43:E53">
    <cfRule type="containsText" dxfId="254" priority="7" operator="containsText" text="No">
      <formula>NOT(ISERROR(SEARCH("No",E43)))</formula>
    </cfRule>
  </conditionalFormatting>
  <conditionalFormatting sqref="E25:F42">
    <cfRule type="containsText" dxfId="253" priority="8" operator="containsText" text="No">
      <formula>NOT(ISERROR(SEARCH("No",E25)))</formula>
    </cfRule>
  </conditionalFormatting>
  <conditionalFormatting sqref="H4:J4">
    <cfRule type="cellIs" dxfId="252" priority="1" operator="equal">
      <formula>"NO PASA"</formula>
    </cfRule>
    <cfRule type="cellIs" dxfId="251" priority="2" operator="equal">
      <formula>"NO PASA"</formula>
    </cfRule>
    <cfRule type="cellIs" dxfId="250" priority="3" operator="equal">
      <formula>"PASA"</formula>
    </cfRule>
    <cfRule type="cellIs" dxfId="249" priority="4" operator="equal">
      <formula>"PASA"</formula>
    </cfRule>
    <cfRule type="cellIs" dxfId="248" priority="5" operator="equal">
      <formula>"NO PASA"</formula>
    </cfRule>
    <cfRule type="containsText" dxfId="247" priority="6" operator="containsText" text="PASA">
      <formula>NOT(ISERROR(SEARCH("PASA",H4)))</formula>
    </cfRule>
    <cfRule type="cellIs" dxfId="246" priority="13" operator="equal">
      <formula>$BC$7</formula>
    </cfRule>
    <cfRule type="cellIs" dxfId="245" priority="14" operator="equal">
      <formula>$BC$6</formula>
    </cfRule>
    <cfRule type="cellIs" dxfId="244" priority="15" operator="equal">
      <formula>$BC$4</formula>
    </cfRule>
  </conditionalFormatting>
  <conditionalFormatting sqref="I14">
    <cfRule type="cellIs" dxfId="243" priority="10" operator="greaterThanOrEqual">
      <formula>0.9</formula>
    </cfRule>
    <cfRule type="cellIs" dxfId="242" priority="11" operator="between">
      <formula>0.71</formula>
      <formula>0.9</formula>
    </cfRule>
    <cfRule type="cellIs" dxfId="241" priority="12" operator="lessThan">
      <formula>0.71</formula>
    </cfRule>
  </conditionalFormatting>
  <dataValidations count="3">
    <dataValidation type="list" allowBlank="1" showInputMessage="1" showErrorMessage="1" sqref="E38:E39 E50:E51" xr:uid="{00000000-0002-0000-0800-000000000000}">
      <formula1>"Yes,No,NA"</formula1>
    </dataValidation>
    <dataValidation type="list" allowBlank="1" showInputMessage="1" showErrorMessage="1" sqref="E52:E53 E25:E37 E40:E49" xr:uid="{00000000-0002-0000-0800-000001000000}">
      <formula1>"Yes,No"</formula1>
    </dataValidation>
    <dataValidation type="list" allowBlank="1" showInputMessage="1" showErrorMessage="1" sqref="E17:E23" xr:uid="{00000000-0002-0000-0800-000002000000}">
      <formula1>"Yes,No,Cured in Moment"</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39997558519241921"/>
  </sheetPr>
  <dimension ref="B1:H103"/>
  <sheetViews>
    <sheetView zoomScale="60" zoomScaleNormal="60" workbookViewId="0">
      <selection activeCell="D11" sqref="D11"/>
    </sheetView>
  </sheetViews>
  <sheetFormatPr baseColWidth="10" defaultColWidth="8.85546875" defaultRowHeight="18"/>
  <cols>
    <col min="1" max="1" width="4.42578125" style="124" customWidth="1"/>
    <col min="2" max="2" width="40.140625" style="122" customWidth="1"/>
    <col min="3" max="3" width="40.140625" style="129" customWidth="1"/>
    <col min="4" max="4" width="40.140625" style="128" customWidth="1"/>
    <col min="5" max="5" width="109.42578125" style="123" customWidth="1"/>
    <col min="6" max="6" width="32.42578125" style="123" customWidth="1"/>
    <col min="7" max="10" width="8.85546875" style="124"/>
    <col min="11" max="11" width="11" style="124" customWidth="1"/>
    <col min="12"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57" customHeight="1">
      <c r="B7" s="298"/>
      <c r="C7" s="130"/>
      <c r="D7" s="284"/>
      <c r="E7" s="130"/>
      <c r="F7" s="134"/>
    </row>
    <row r="8" spans="2:8" ht="75" customHeight="1">
      <c r="B8" s="297"/>
      <c r="C8" s="130"/>
      <c r="D8" s="284"/>
      <c r="E8" s="127"/>
      <c r="F8" s="135"/>
    </row>
    <row r="9" spans="2:8" ht="56.25" customHeight="1">
      <c r="B9" s="297"/>
      <c r="C9" s="130"/>
      <c r="D9" s="284"/>
      <c r="E9" s="127"/>
      <c r="F9" s="136"/>
    </row>
    <row r="10" spans="2:8" ht="68.25" customHeight="1">
      <c r="B10" s="297"/>
      <c r="C10" s="130"/>
      <c r="D10" s="284"/>
      <c r="E10" s="131"/>
      <c r="F10" s="136"/>
    </row>
    <row r="11" spans="2:8" ht="68.25" customHeight="1">
      <c r="B11" s="298"/>
      <c r="C11" s="130"/>
      <c r="D11" s="284"/>
      <c r="E11" s="131"/>
      <c r="F11" s="136"/>
    </row>
    <row r="12" spans="2:8" ht="44.1" customHeight="1">
      <c r="B12" s="295"/>
      <c r="C12" s="130"/>
      <c r="D12" s="307"/>
      <c r="E12" s="131"/>
      <c r="F12" s="136"/>
    </row>
    <row r="13" spans="2:8" s="126" customFormat="1" ht="30.95" customHeight="1">
      <c r="B13" s="297"/>
      <c r="C13" s="131"/>
      <c r="D13" s="131"/>
      <c r="E13" s="131"/>
      <c r="F13" s="136"/>
    </row>
    <row r="14" spans="2:8" ht="39.950000000000003" customHeight="1">
      <c r="B14" s="141"/>
      <c r="C14" s="131"/>
      <c r="D14" s="131"/>
      <c r="E14" s="131"/>
      <c r="F14" s="136"/>
    </row>
    <row r="15" spans="2:8" ht="39.950000000000003" customHeight="1">
      <c r="B15" s="141"/>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268</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2:E2"/>
    <mergeCell ref="B3:F3"/>
    <mergeCell ref="B4:F4"/>
    <mergeCell ref="B5:B6"/>
    <mergeCell ref="C5:C6"/>
    <mergeCell ref="D5:D6"/>
    <mergeCell ref="E5:E6"/>
    <mergeCell ref="F5:F6"/>
    <mergeCell ref="B18:F18"/>
    <mergeCell ref="B19:F19"/>
    <mergeCell ref="B20:B21"/>
    <mergeCell ref="C20:C21"/>
    <mergeCell ref="D20:D21"/>
    <mergeCell ref="E20:E21"/>
    <mergeCell ref="F20:F21"/>
    <mergeCell ref="B32:F32"/>
    <mergeCell ref="B33:F33"/>
    <mergeCell ref="B34:B35"/>
    <mergeCell ref="C34:C35"/>
    <mergeCell ref="D34:D35"/>
    <mergeCell ref="E34:E35"/>
    <mergeCell ref="F34:F35"/>
  </mergeCells>
  <conditionalFormatting sqref="F31">
    <cfRule type="expression" dxfId="240" priority="1" stopIfTrue="1">
      <formula>IF($E31="NA",TRUE,FALSE)</formula>
    </cfRule>
  </conditionalFormatting>
  <dataValidations count="3">
    <dataValidation type="list" allowBlank="1" showInputMessage="1" showErrorMessage="1" sqref="E31" xr:uid="{00000000-0002-0000-0900-000000000000}">
      <formula1>"Yes,No,NA"</formula1>
    </dataValidation>
    <dataValidation type="list" allowBlank="1" showInputMessage="1" showErrorMessage="1" sqref="E17" xr:uid="{00000000-0002-0000-0900-000001000000}">
      <formula1>"Yes,No"</formula1>
    </dataValidation>
    <dataValidation type="list" allowBlank="1" showInputMessage="1" showErrorMessage="1" sqref="E5:E6 E20:E21 E34:E35" xr:uid="{00000000-0002-0000-0900-000002000000}">
      <formula1>"Yes,No,Cured in Moment"</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sheetPr>
  <dimension ref="B1:BF56"/>
  <sheetViews>
    <sheetView topLeftCell="B1" zoomScale="60" zoomScaleNormal="60" workbookViewId="0">
      <selection activeCell="G33" sqref="G33:K33"/>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20.7109375" style="124"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49.5" customHeight="1" thickBot="1">
      <c r="B3" s="210" t="s">
        <v>208</v>
      </c>
      <c r="C3" s="507" t="s">
        <v>327</v>
      </c>
      <c r="D3" s="508"/>
      <c r="E3" s="161"/>
      <c r="G3" s="220"/>
      <c r="H3" s="220"/>
      <c r="I3" s="220"/>
      <c r="J3" s="220"/>
    </row>
    <row r="4" spans="2:55" ht="76.5" customHeight="1" thickBot="1">
      <c r="B4" s="211" t="s">
        <v>275</v>
      </c>
      <c r="C4" s="509" t="s">
        <v>353</v>
      </c>
      <c r="D4" s="510"/>
      <c r="E4" s="150"/>
      <c r="G4" s="186" t="s">
        <v>11</v>
      </c>
      <c r="H4" s="511" t="str">
        <f>IF(COUNTIF(BB6,"0")&gt;0,"PASA","NO PASA")</f>
        <v>PASA</v>
      </c>
      <c r="I4" s="512"/>
      <c r="J4" s="513"/>
      <c r="BA4" s="221" t="s">
        <v>174</v>
      </c>
      <c r="BB4" s="123">
        <f>COUNTIF(E17:F23,BA4)</f>
        <v>0</v>
      </c>
      <c r="BC4" s="225" t="s">
        <v>262</v>
      </c>
    </row>
    <row r="5" spans="2:55" ht="38.25" customHeight="1" thickBot="1">
      <c r="B5" s="236" t="s">
        <v>203</v>
      </c>
      <c r="C5" s="514">
        <v>46277</v>
      </c>
      <c r="D5" s="579"/>
      <c r="G5" s="228" t="s">
        <v>198</v>
      </c>
      <c r="H5" s="185" t="s">
        <v>3</v>
      </c>
      <c r="I5" s="229" t="s">
        <v>4</v>
      </c>
      <c r="J5" s="230" t="s">
        <v>5</v>
      </c>
      <c r="BC5" s="225"/>
    </row>
    <row r="6" spans="2:55" ht="48" customHeight="1" thickBot="1">
      <c r="C6" s="122"/>
      <c r="E6" s="128"/>
      <c r="G6" s="187" t="s">
        <v>254</v>
      </c>
      <c r="H6" s="160">
        <v>31</v>
      </c>
      <c r="I6" s="160">
        <f>SUM(F25:F31)</f>
        <v>31</v>
      </c>
      <c r="J6" s="167">
        <f t="shared" ref="J6:J9" si="0">I6/H6</f>
        <v>1</v>
      </c>
      <c r="BA6" s="221" t="s">
        <v>193</v>
      </c>
      <c r="BB6" s="123">
        <f>COUNTIF(E17:F23,BA6)</f>
        <v>0</v>
      </c>
      <c r="BC6" s="225" t="s">
        <v>263</v>
      </c>
    </row>
    <row r="7" spans="2:55" ht="48" customHeight="1" thickBot="1">
      <c r="B7" s="438" t="s">
        <v>243</v>
      </c>
      <c r="C7" s="516" t="s">
        <v>252</v>
      </c>
      <c r="D7" s="517"/>
      <c r="E7" s="164"/>
      <c r="G7" s="168" t="s">
        <v>199</v>
      </c>
      <c r="H7" s="169">
        <v>18</v>
      </c>
      <c r="I7" s="169">
        <f>SUM(F32:F35)</f>
        <v>18</v>
      </c>
      <c r="J7" s="170">
        <f t="shared" si="0"/>
        <v>1</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19</v>
      </c>
      <c r="J9" s="170">
        <f t="shared" si="0"/>
        <v>1</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5</v>
      </c>
      <c r="J11" s="170">
        <f t="shared" ref="J11:J12" si="1">I11/H11</f>
        <v>1</v>
      </c>
    </row>
    <row r="12" spans="2:55" ht="72.75" customHeight="1" thickBot="1">
      <c r="B12" s="219" t="s">
        <v>244</v>
      </c>
      <c r="C12" s="524" t="s">
        <v>246</v>
      </c>
      <c r="D12" s="525"/>
      <c r="E12" s="166"/>
      <c r="G12" s="198" t="s">
        <v>271</v>
      </c>
      <c r="H12" s="199">
        <f>SUM(H6:H11)</f>
        <v>117</v>
      </c>
      <c r="I12" s="199">
        <f>SUM(I6:I11)</f>
        <v>117</v>
      </c>
      <c r="J12" s="200">
        <f t="shared" si="1"/>
        <v>1</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1</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G20" s="576"/>
      <c r="H20" s="577"/>
      <c r="I20" s="577"/>
      <c r="J20" s="577"/>
      <c r="K20" s="578"/>
      <c r="V20" s="122"/>
      <c r="AY20" s="172" t="str">
        <f t="shared" si="2"/>
        <v>Yes</v>
      </c>
      <c r="BA20" s="222"/>
      <c r="BB20" s="122"/>
      <c r="BC20" s="122"/>
    </row>
    <row r="21" spans="2:58" s="172" customFormat="1" ht="45.95" customHeight="1">
      <c r="B21" s="439"/>
      <c r="C21" s="214">
        <v>5</v>
      </c>
      <c r="D21" s="215" t="s">
        <v>213</v>
      </c>
      <c r="E21" s="496" t="s">
        <v>266</v>
      </c>
      <c r="F21" s="497"/>
      <c r="G21" s="498"/>
      <c r="H21" s="499"/>
      <c r="I21" s="499"/>
      <c r="J21" s="499"/>
      <c r="K21" s="500"/>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c r="H24" s="478"/>
      <c r="I24" s="478"/>
      <c r="J24" s="478"/>
      <c r="K24" s="479"/>
    </row>
    <row r="25" spans="2:58" ht="63.75" customHeight="1">
      <c r="B25" s="439" t="s">
        <v>254</v>
      </c>
      <c r="C25" s="174">
        <v>1</v>
      </c>
      <c r="D25" s="191" t="s">
        <v>259</v>
      </c>
      <c r="E25" s="175" t="s">
        <v>266</v>
      </c>
      <c r="F25" s="176">
        <f>IF(E25="Yes",5,0)</f>
        <v>5</v>
      </c>
      <c r="G25" s="450"/>
      <c r="H25" s="451"/>
      <c r="I25" s="451"/>
      <c r="J25" s="451"/>
      <c r="K25" s="452"/>
    </row>
    <row r="26" spans="2:58" ht="45.95" customHeight="1">
      <c r="B26" s="439"/>
      <c r="C26" s="127">
        <v>2</v>
      </c>
      <c r="D26" s="192" t="s">
        <v>219</v>
      </c>
      <c r="E26" s="140" t="s">
        <v>266</v>
      </c>
      <c r="F26" s="135">
        <f>IF(E26="Yes",5,0)</f>
        <v>5</v>
      </c>
      <c r="G26" s="453"/>
      <c r="H26" s="454"/>
      <c r="I26" s="454"/>
      <c r="J26" s="454"/>
      <c r="K26" s="455"/>
    </row>
    <row r="27" spans="2:58" ht="45.95" customHeight="1">
      <c r="B27" s="439"/>
      <c r="C27" s="143">
        <v>3</v>
      </c>
      <c r="D27" s="193" t="s">
        <v>216</v>
      </c>
      <c r="E27" s="177" t="s">
        <v>266</v>
      </c>
      <c r="F27" s="178">
        <f>IF(E27="Yes",5,0)</f>
        <v>5</v>
      </c>
      <c r="G27" s="444"/>
      <c r="H27" s="445"/>
      <c r="I27" s="445"/>
      <c r="J27" s="445"/>
      <c r="K27" s="446"/>
    </row>
    <row r="28" spans="2:58" ht="51.75" customHeight="1">
      <c r="B28" s="439"/>
      <c r="C28" s="127">
        <v>4</v>
      </c>
      <c r="D28" s="192" t="s">
        <v>217</v>
      </c>
      <c r="E28" s="140" t="s">
        <v>266</v>
      </c>
      <c r="F28" s="135">
        <f t="shared" ref="F28:F32" si="3">IF(E28="Yes",1,0)</f>
        <v>1</v>
      </c>
      <c r="G28" s="453"/>
      <c r="H28" s="454"/>
      <c r="I28" s="454"/>
      <c r="J28" s="454"/>
      <c r="K28" s="455"/>
    </row>
    <row r="29" spans="2:58" ht="50.25" customHeight="1">
      <c r="B29" s="439"/>
      <c r="C29" s="151">
        <v>5</v>
      </c>
      <c r="D29" s="193" t="s">
        <v>218</v>
      </c>
      <c r="E29" s="177" t="s">
        <v>266</v>
      </c>
      <c r="F29" s="178">
        <f t="shared" si="3"/>
        <v>1</v>
      </c>
      <c r="G29" s="465"/>
      <c r="H29" s="466"/>
      <c r="I29" s="466"/>
      <c r="J29" s="466"/>
      <c r="K29" s="467"/>
    </row>
    <row r="30" spans="2:58" ht="47.25" customHeight="1">
      <c r="B30" s="439"/>
      <c r="C30" s="131">
        <v>6</v>
      </c>
      <c r="D30" s="192" t="s">
        <v>220</v>
      </c>
      <c r="E30" s="140" t="s">
        <v>266</v>
      </c>
      <c r="F30" s="135">
        <f>IF(E30="Yes",7,0)</f>
        <v>7</v>
      </c>
      <c r="G30" s="453"/>
      <c r="H30" s="454"/>
      <c r="I30" s="454"/>
      <c r="J30" s="454"/>
      <c r="K30" s="455"/>
    </row>
    <row r="31" spans="2:58" ht="48.75" customHeight="1" thickBot="1">
      <c r="B31" s="440"/>
      <c r="C31" s="158">
        <v>7</v>
      </c>
      <c r="D31" s="194" t="s">
        <v>221</v>
      </c>
      <c r="E31" s="179" t="s">
        <v>266</v>
      </c>
      <c r="F31" s="180">
        <f>IF(E31="Yes",7,0)</f>
        <v>7</v>
      </c>
      <c r="G31" s="543"/>
      <c r="H31" s="544"/>
      <c r="I31" s="544"/>
      <c r="J31" s="544"/>
      <c r="K31" s="545"/>
    </row>
    <row r="32" spans="2:58" ht="48.75" customHeight="1">
      <c r="B32" s="438" t="s">
        <v>257</v>
      </c>
      <c r="C32" s="227">
        <v>1</v>
      </c>
      <c r="D32" s="206" t="s">
        <v>222</v>
      </c>
      <c r="E32" s="181" t="s">
        <v>266</v>
      </c>
      <c r="F32" s="182">
        <f t="shared" si="3"/>
        <v>1</v>
      </c>
      <c r="G32" s="456"/>
      <c r="H32" s="457"/>
      <c r="I32" s="457"/>
      <c r="J32" s="457"/>
      <c r="K32" s="458"/>
    </row>
    <row r="33" spans="2:11" ht="45.95" customHeight="1">
      <c r="B33" s="439"/>
      <c r="C33" s="143">
        <v>2</v>
      </c>
      <c r="D33" s="203" t="s">
        <v>223</v>
      </c>
      <c r="E33" s="177" t="s">
        <v>266</v>
      </c>
      <c r="F33" s="178">
        <f>IF(E33="Yes",5,0)</f>
        <v>5</v>
      </c>
      <c r="G33" s="444"/>
      <c r="H33" s="445"/>
      <c r="I33" s="445"/>
      <c r="J33" s="445"/>
      <c r="K33" s="446"/>
    </row>
    <row r="34" spans="2:11" ht="45.95" customHeight="1">
      <c r="B34" s="439"/>
      <c r="C34" s="131">
        <v>3</v>
      </c>
      <c r="D34" s="202" t="s">
        <v>224</v>
      </c>
      <c r="E34" s="140" t="s">
        <v>266</v>
      </c>
      <c r="F34" s="135">
        <f>IF(E34="Yes",5,0)</f>
        <v>5</v>
      </c>
      <c r="G34" s="453"/>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465"/>
      <c r="H37" s="466"/>
      <c r="I37" s="466"/>
      <c r="J37" s="466"/>
      <c r="K37" s="467"/>
    </row>
    <row r="38" spans="2:11" ht="50.25"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266</v>
      </c>
      <c r="F39" s="178">
        <f>IF(OR(E39="Yes",E39="NA"),7,0)</f>
        <v>7</v>
      </c>
      <c r="G39" s="465"/>
      <c r="H39" s="466"/>
      <c r="I39" s="466"/>
      <c r="J39" s="466"/>
      <c r="K39" s="46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462"/>
      <c r="H41" s="463"/>
      <c r="I41" s="463"/>
      <c r="J41" s="463"/>
      <c r="K41" s="464"/>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266</v>
      </c>
      <c r="F44" s="135">
        <f>IF(E44="Yes",1,0)</f>
        <v>1</v>
      </c>
      <c r="G44" s="453"/>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315</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266</v>
      </c>
      <c r="F53" s="190">
        <f>IF(E53="Yes",1,0)</f>
        <v>1</v>
      </c>
      <c r="G53" s="444"/>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9">
    <mergeCell ref="G20:K20"/>
    <mergeCell ref="I14:J14"/>
    <mergeCell ref="B1:D2"/>
    <mergeCell ref="C3:D3"/>
    <mergeCell ref="C4:D4"/>
    <mergeCell ref="H4:J4"/>
    <mergeCell ref="C5:D5"/>
    <mergeCell ref="B7:B9"/>
    <mergeCell ref="C7:D7"/>
    <mergeCell ref="C8:D9"/>
    <mergeCell ref="C11:D11"/>
    <mergeCell ref="C12:D12"/>
    <mergeCell ref="C13:D13"/>
    <mergeCell ref="C14:D14"/>
    <mergeCell ref="G14:H14"/>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G23:K23"/>
    <mergeCell ref="B24:D24"/>
    <mergeCell ref="G24:K24"/>
    <mergeCell ref="B25:B31"/>
    <mergeCell ref="G25:K25"/>
    <mergeCell ref="G26:K26"/>
    <mergeCell ref="G27:K27"/>
    <mergeCell ref="G28:K28"/>
    <mergeCell ref="G30:K30"/>
    <mergeCell ref="G31:K31"/>
    <mergeCell ref="G29:K29"/>
    <mergeCell ref="B32:B35"/>
    <mergeCell ref="G32:K32"/>
    <mergeCell ref="G33:K33"/>
    <mergeCell ref="G34:K34"/>
    <mergeCell ref="G35:K35"/>
    <mergeCell ref="B49:B53"/>
    <mergeCell ref="G49:K49"/>
    <mergeCell ref="G50:K50"/>
    <mergeCell ref="G51:K51"/>
    <mergeCell ref="G52:K52"/>
    <mergeCell ref="G53:K53"/>
    <mergeCell ref="G39:K39"/>
    <mergeCell ref="B46:B48"/>
    <mergeCell ref="G46:K46"/>
    <mergeCell ref="G47:K47"/>
    <mergeCell ref="G48:K48"/>
    <mergeCell ref="B41:B45"/>
    <mergeCell ref="G42:K42"/>
    <mergeCell ref="G43:K43"/>
    <mergeCell ref="G44:K44"/>
    <mergeCell ref="G45:K45"/>
    <mergeCell ref="B36:B40"/>
    <mergeCell ref="G36:K36"/>
    <mergeCell ref="G38:K38"/>
    <mergeCell ref="G40:K40"/>
    <mergeCell ref="G41:K41"/>
    <mergeCell ref="G37:K37"/>
  </mergeCells>
  <conditionalFormatting sqref="E17:E23">
    <cfRule type="notContainsText" dxfId="239" priority="9" operator="notContains" text="YES">
      <formula>ISERROR(SEARCH("YES",E17))</formula>
    </cfRule>
  </conditionalFormatting>
  <conditionalFormatting sqref="E43:E53">
    <cfRule type="containsText" dxfId="238" priority="7" operator="containsText" text="No">
      <formula>NOT(ISERROR(SEARCH("No",E43)))</formula>
    </cfRule>
  </conditionalFormatting>
  <conditionalFormatting sqref="E25:F42">
    <cfRule type="containsText" dxfId="237" priority="8" operator="containsText" text="No">
      <formula>NOT(ISERROR(SEARCH("No",E25)))</formula>
    </cfRule>
  </conditionalFormatting>
  <conditionalFormatting sqref="H4:J4">
    <cfRule type="cellIs" dxfId="236" priority="1" operator="equal">
      <formula>"NO PASA"</formula>
    </cfRule>
    <cfRule type="cellIs" dxfId="235" priority="2" operator="equal">
      <formula>"NO PASA"</formula>
    </cfRule>
    <cfRule type="cellIs" dxfId="234" priority="3" operator="equal">
      <formula>"PASA"</formula>
    </cfRule>
    <cfRule type="cellIs" dxfId="233" priority="4" operator="equal">
      <formula>"PASA"</formula>
    </cfRule>
    <cfRule type="cellIs" dxfId="232" priority="5" operator="equal">
      <formula>"NO PASA"</formula>
    </cfRule>
    <cfRule type="containsText" dxfId="231" priority="6" operator="containsText" text="PASA">
      <formula>NOT(ISERROR(SEARCH("PASA",H4)))</formula>
    </cfRule>
    <cfRule type="cellIs" dxfId="230" priority="13" operator="equal">
      <formula>$BC$7</formula>
    </cfRule>
    <cfRule type="cellIs" dxfId="229" priority="14" operator="equal">
      <formula>$BC$6</formula>
    </cfRule>
    <cfRule type="cellIs" dxfId="228" priority="15" operator="equal">
      <formula>$BC$4</formula>
    </cfRule>
  </conditionalFormatting>
  <conditionalFormatting sqref="I14">
    <cfRule type="cellIs" dxfId="227" priority="10" operator="greaterThanOrEqual">
      <formula>0.9</formula>
    </cfRule>
    <cfRule type="cellIs" dxfId="226" priority="11" operator="between">
      <formula>0.71</formula>
      <formula>0.9</formula>
    </cfRule>
    <cfRule type="cellIs" dxfId="225" priority="12" operator="lessThan">
      <formula>0.71</formula>
    </cfRule>
  </conditionalFormatting>
  <dataValidations count="3">
    <dataValidation type="list" allowBlank="1" showInputMessage="1" showErrorMessage="1" sqref="E38:E39 E50:E51" xr:uid="{00000000-0002-0000-1600-000000000000}">
      <formula1>"Yes,No,NA"</formula1>
    </dataValidation>
    <dataValidation type="list" allowBlank="1" showInputMessage="1" showErrorMessage="1" sqref="E52:E53 E25:E37 E40:E49" xr:uid="{00000000-0002-0000-1600-000001000000}">
      <formula1>"Yes,No"</formula1>
    </dataValidation>
    <dataValidation type="list" allowBlank="1" showInputMessage="1" showErrorMessage="1" sqref="E17:E23" xr:uid="{00000000-0002-0000-1600-000002000000}">
      <formula1>"Yes,No,Cured in Moment"</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sheetPr>
  <dimension ref="B1:H103"/>
  <sheetViews>
    <sheetView zoomScale="50" zoomScaleNormal="50" workbookViewId="0">
      <selection activeCell="B11" sqref="B11"/>
    </sheetView>
  </sheetViews>
  <sheetFormatPr baseColWidth="10" defaultColWidth="8.85546875" defaultRowHeight="18"/>
  <cols>
    <col min="1" max="1" width="4.42578125" style="124" customWidth="1"/>
    <col min="2" max="2" width="40.140625" style="122"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83.25" customHeight="1">
      <c r="B7" s="298" t="s">
        <v>388</v>
      </c>
      <c r="C7" s="130" t="s">
        <v>379</v>
      </c>
      <c r="D7" s="284">
        <v>46295</v>
      </c>
      <c r="E7" s="130"/>
      <c r="F7" s="134"/>
    </row>
    <row r="8" spans="2:8" ht="81.75" customHeight="1">
      <c r="B8" s="302" t="s">
        <v>389</v>
      </c>
      <c r="C8" s="130" t="s">
        <v>379</v>
      </c>
      <c r="D8" s="284">
        <v>46295</v>
      </c>
      <c r="E8" s="127"/>
      <c r="F8" s="135"/>
    </row>
    <row r="9" spans="2:8" ht="89.25" customHeight="1">
      <c r="B9" s="302" t="s">
        <v>390</v>
      </c>
      <c r="C9" s="130" t="s">
        <v>379</v>
      </c>
      <c r="D9" s="284">
        <v>46295</v>
      </c>
      <c r="E9" s="127"/>
      <c r="F9" s="136"/>
    </row>
    <row r="10" spans="2:8" ht="108.75" customHeight="1">
      <c r="B10" s="302" t="s">
        <v>496</v>
      </c>
      <c r="C10" s="130" t="s">
        <v>379</v>
      </c>
      <c r="D10" s="284">
        <v>46295</v>
      </c>
      <c r="E10" s="131"/>
      <c r="F10" s="136"/>
    </row>
    <row r="11" spans="2:8" ht="62.25" customHeight="1">
      <c r="B11" s="302"/>
      <c r="C11" s="130"/>
      <c r="D11" s="284"/>
      <c r="E11" s="131"/>
      <c r="F11" s="136"/>
    </row>
    <row r="12" spans="2:8" ht="44.1" customHeight="1">
      <c r="B12" s="302"/>
      <c r="C12" s="130"/>
      <c r="D12" s="131"/>
      <c r="E12" s="131"/>
      <c r="F12" s="136"/>
    </row>
    <row r="13" spans="2:8" s="126" customFormat="1" ht="38.25" customHeight="1">
      <c r="B13" s="302"/>
      <c r="C13" s="130"/>
      <c r="D13" s="131"/>
      <c r="E13" s="131"/>
      <c r="F13" s="136"/>
    </row>
    <row r="14" spans="2:8" ht="39.950000000000003" customHeight="1">
      <c r="B14" s="302"/>
      <c r="C14" s="130"/>
      <c r="D14" s="131"/>
      <c r="E14" s="131"/>
      <c r="F14" s="136"/>
    </row>
    <row r="15" spans="2:8" ht="39.950000000000003" customHeight="1">
      <c r="B15" s="141"/>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268</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2:E2"/>
    <mergeCell ref="B3:F3"/>
    <mergeCell ref="B4:F4"/>
    <mergeCell ref="B5:B6"/>
    <mergeCell ref="C5:C6"/>
    <mergeCell ref="D5:D6"/>
    <mergeCell ref="E5:E6"/>
    <mergeCell ref="F5:F6"/>
    <mergeCell ref="B18:F18"/>
    <mergeCell ref="B19:F19"/>
    <mergeCell ref="B20:B21"/>
    <mergeCell ref="C20:C21"/>
    <mergeCell ref="D20:D21"/>
    <mergeCell ref="E20:E21"/>
    <mergeCell ref="F20:F21"/>
    <mergeCell ref="B32:F32"/>
    <mergeCell ref="B33:F33"/>
    <mergeCell ref="B34:B35"/>
    <mergeCell ref="C34:C35"/>
    <mergeCell ref="D34:D35"/>
    <mergeCell ref="E34:E35"/>
    <mergeCell ref="F34:F35"/>
  </mergeCells>
  <conditionalFormatting sqref="F31">
    <cfRule type="expression" dxfId="224" priority="1" stopIfTrue="1">
      <formula>IF($E31="NA",TRUE,FALSE)</formula>
    </cfRule>
  </conditionalFormatting>
  <dataValidations count="3">
    <dataValidation type="list" allowBlank="1" showInputMessage="1" showErrorMessage="1" sqref="E31" xr:uid="{00000000-0002-0000-1700-000000000000}">
      <formula1>"Yes,No,NA"</formula1>
    </dataValidation>
    <dataValidation type="list" allowBlank="1" showInputMessage="1" showErrorMessage="1" sqref="E17" xr:uid="{00000000-0002-0000-1700-000001000000}">
      <formula1>"Yes,No"</formula1>
    </dataValidation>
    <dataValidation type="list" allowBlank="1" showInputMessage="1" showErrorMessage="1" sqref="E5:E6 E20:E21 E34:E35" xr:uid="{00000000-0002-0000-1700-000002000000}">
      <formula1>"Yes,No,Cured in Moment"</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B1:BF56"/>
  <sheetViews>
    <sheetView showGridLines="0" zoomScale="60" zoomScaleNormal="60" workbookViewId="0">
      <selection activeCell="E53" sqref="E53"/>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19.85546875" style="124"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48" customHeight="1" thickBot="1">
      <c r="B3" s="210" t="s">
        <v>208</v>
      </c>
      <c r="C3" s="507" t="s">
        <v>321</v>
      </c>
      <c r="D3" s="508"/>
      <c r="E3" s="161"/>
      <c r="G3" s="220"/>
      <c r="H3" s="220"/>
      <c r="I3" s="220"/>
      <c r="J3" s="220"/>
    </row>
    <row r="4" spans="2:55" ht="72" customHeight="1" thickBot="1">
      <c r="B4" s="211" t="s">
        <v>275</v>
      </c>
      <c r="C4" s="509" t="s">
        <v>368</v>
      </c>
      <c r="D4" s="510"/>
      <c r="E4" s="150"/>
      <c r="G4" s="186" t="s">
        <v>11</v>
      </c>
      <c r="H4" s="511" t="str">
        <f>IF(COUNTIF(BB6,"0")&gt;0,"PASA","NO PASA")</f>
        <v>PASA</v>
      </c>
      <c r="I4" s="512"/>
      <c r="J4" s="513"/>
      <c r="BA4" s="221" t="s">
        <v>174</v>
      </c>
      <c r="BB4" s="123">
        <f>COUNTIF(E17:F23,BA4)</f>
        <v>0</v>
      </c>
      <c r="BC4" s="225" t="s">
        <v>262</v>
      </c>
    </row>
    <row r="5" spans="2:55" ht="55.5" customHeight="1" thickBot="1">
      <c r="B5" s="236" t="s">
        <v>203</v>
      </c>
      <c r="C5" s="514">
        <v>46273</v>
      </c>
      <c r="D5" s="515"/>
      <c r="G5" s="228" t="s">
        <v>198</v>
      </c>
      <c r="H5" s="185" t="s">
        <v>3</v>
      </c>
      <c r="I5" s="229" t="s">
        <v>4</v>
      </c>
      <c r="J5" s="230" t="s">
        <v>5</v>
      </c>
      <c r="BC5" s="225"/>
    </row>
    <row r="6" spans="2:55" ht="48" customHeight="1" thickBot="1">
      <c r="C6" s="122"/>
      <c r="E6" s="128"/>
      <c r="G6" s="187" t="s">
        <v>254</v>
      </c>
      <c r="H6" s="160">
        <v>31</v>
      </c>
      <c r="I6" s="160">
        <f>SUM(F25:F31)</f>
        <v>12</v>
      </c>
      <c r="J6" s="167">
        <f t="shared" ref="J6:J9" si="0">I6/H6</f>
        <v>0.38709677419354838</v>
      </c>
      <c r="BA6" s="221" t="s">
        <v>193</v>
      </c>
      <c r="BB6" s="123">
        <f>COUNTIF(E17:F23,BA6)</f>
        <v>0</v>
      </c>
      <c r="BC6" s="225" t="s">
        <v>263</v>
      </c>
    </row>
    <row r="7" spans="2:55" ht="48" customHeight="1" thickBot="1">
      <c r="B7" s="438" t="s">
        <v>243</v>
      </c>
      <c r="C7" s="516" t="s">
        <v>252</v>
      </c>
      <c r="D7" s="517"/>
      <c r="E7" s="164"/>
      <c r="G7" s="168" t="s">
        <v>199</v>
      </c>
      <c r="H7" s="169">
        <v>18</v>
      </c>
      <c r="I7" s="169">
        <f>SUM(F32:F35)</f>
        <v>13</v>
      </c>
      <c r="J7" s="170">
        <f t="shared" si="0"/>
        <v>0.72222222222222221</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row>
    <row r="9" spans="2:55" ht="63" customHeight="1" thickBot="1">
      <c r="B9" s="440"/>
      <c r="C9" s="520"/>
      <c r="D9" s="521"/>
      <c r="E9" s="165"/>
      <c r="G9" s="168" t="s">
        <v>255</v>
      </c>
      <c r="H9" s="169">
        <v>19</v>
      </c>
      <c r="I9" s="169">
        <f>SUM(F41:F45)</f>
        <v>18</v>
      </c>
      <c r="J9" s="170">
        <f t="shared" si="0"/>
        <v>0.94736842105263153</v>
      </c>
    </row>
    <row r="10" spans="2:55" ht="48" customHeight="1" thickBot="1">
      <c r="B10" s="163"/>
      <c r="C10" s="163"/>
      <c r="D10" s="162"/>
      <c r="E10" s="166"/>
      <c r="G10" s="187" t="s">
        <v>242</v>
      </c>
      <c r="H10" s="160">
        <v>13</v>
      </c>
      <c r="I10" s="160">
        <f>SUM(F46:F48)</f>
        <v>12</v>
      </c>
      <c r="J10" s="171">
        <f>I10/H10</f>
        <v>0.92307692307692313</v>
      </c>
    </row>
    <row r="11" spans="2:55" ht="48" customHeight="1" thickBot="1">
      <c r="B11" s="210" t="s">
        <v>248</v>
      </c>
      <c r="C11" s="522" t="s">
        <v>251</v>
      </c>
      <c r="D11" s="523"/>
      <c r="E11" s="128"/>
      <c r="G11" s="168" t="s">
        <v>256</v>
      </c>
      <c r="H11" s="169">
        <v>5</v>
      </c>
      <c r="I11" s="169">
        <f>SUM(F49:F53)</f>
        <v>4</v>
      </c>
      <c r="J11" s="170">
        <f t="shared" ref="J11:J12" si="1">I11/H11</f>
        <v>0.8</v>
      </c>
    </row>
    <row r="12" spans="2:55" ht="72.75" customHeight="1" thickBot="1">
      <c r="B12" s="219" t="s">
        <v>244</v>
      </c>
      <c r="C12" s="524" t="s">
        <v>246</v>
      </c>
      <c r="D12" s="525"/>
      <c r="E12" s="166"/>
      <c r="G12" s="198" t="s">
        <v>271</v>
      </c>
      <c r="H12" s="199">
        <f>SUM(H6:H11)</f>
        <v>117</v>
      </c>
      <c r="I12" s="199">
        <f>SUM(I6:I11)</f>
        <v>90</v>
      </c>
      <c r="J12" s="200">
        <f t="shared" si="1"/>
        <v>0.76923076923076927</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0.76923076923076927</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K20" s="173"/>
      <c r="V20" s="122"/>
      <c r="AY20" s="172" t="str">
        <f t="shared" si="2"/>
        <v>Yes</v>
      </c>
      <c r="BA20" s="222"/>
      <c r="BB20" s="122"/>
      <c r="BC20" s="122"/>
    </row>
    <row r="21" spans="2:58" s="172" customFormat="1" ht="45.95" customHeight="1">
      <c r="B21" s="439"/>
      <c r="C21" s="214">
        <v>5</v>
      </c>
      <c r="D21" s="215" t="s">
        <v>213</v>
      </c>
      <c r="E21" s="496" t="s">
        <v>266</v>
      </c>
      <c r="F21" s="497"/>
      <c r="G21" s="493"/>
      <c r="H21" s="494"/>
      <c r="I21" s="494"/>
      <c r="J21" s="494"/>
      <c r="K21" s="495"/>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450"/>
      <c r="H25" s="451"/>
      <c r="I25" s="451"/>
      <c r="J25" s="451"/>
      <c r="K25" s="452"/>
    </row>
    <row r="26" spans="2:58" ht="45.95" customHeight="1">
      <c r="B26" s="439"/>
      <c r="C26" s="127">
        <v>2</v>
      </c>
      <c r="D26" s="192" t="s">
        <v>219</v>
      </c>
      <c r="E26" s="140" t="s">
        <v>193</v>
      </c>
      <c r="F26" s="135">
        <f>IF(E26="Yes",5,0)</f>
        <v>0</v>
      </c>
      <c r="G26" s="453" t="s">
        <v>475</v>
      </c>
      <c r="H26" s="454"/>
      <c r="I26" s="454"/>
      <c r="J26" s="454"/>
      <c r="K26" s="455"/>
    </row>
    <row r="27" spans="2:58" ht="45.95" customHeight="1">
      <c r="B27" s="439"/>
      <c r="C27" s="143">
        <v>3</v>
      </c>
      <c r="D27" s="193" t="s">
        <v>216</v>
      </c>
      <c r="E27" s="177" t="s">
        <v>266</v>
      </c>
      <c r="F27" s="178">
        <f>IF(E27="Yes",5,0)</f>
        <v>5</v>
      </c>
      <c r="G27" s="444"/>
      <c r="H27" s="445"/>
      <c r="I27" s="445"/>
      <c r="J27" s="445"/>
      <c r="K27" s="446"/>
    </row>
    <row r="28" spans="2:58" ht="51.75" customHeight="1">
      <c r="B28" s="439"/>
      <c r="C28" s="127">
        <v>4</v>
      </c>
      <c r="D28" s="192" t="s">
        <v>217</v>
      </c>
      <c r="E28" s="140" t="s">
        <v>266</v>
      </c>
      <c r="F28" s="135">
        <f t="shared" ref="F28:F32" si="3">IF(E28="Yes",1,0)</f>
        <v>1</v>
      </c>
      <c r="G28" s="453"/>
      <c r="H28" s="454"/>
      <c r="I28" s="454"/>
      <c r="J28" s="454"/>
      <c r="K28" s="455"/>
    </row>
    <row r="29" spans="2:58" ht="50.25" customHeight="1">
      <c r="B29" s="439"/>
      <c r="C29" s="151">
        <v>5</v>
      </c>
      <c r="D29" s="193" t="s">
        <v>218</v>
      </c>
      <c r="E29" s="177" t="s">
        <v>266</v>
      </c>
      <c r="F29" s="178">
        <f t="shared" si="3"/>
        <v>1</v>
      </c>
      <c r="G29" s="465"/>
      <c r="H29" s="466"/>
      <c r="I29" s="466"/>
      <c r="J29" s="466"/>
      <c r="K29" s="467"/>
    </row>
    <row r="30" spans="2:58" ht="47.25" customHeight="1">
      <c r="B30" s="439"/>
      <c r="C30" s="131">
        <v>6</v>
      </c>
      <c r="D30" s="192" t="s">
        <v>220</v>
      </c>
      <c r="E30" s="140" t="s">
        <v>193</v>
      </c>
      <c r="F30" s="135">
        <f>IF(E30="Yes",7,0)</f>
        <v>0</v>
      </c>
      <c r="G30" s="435" t="s">
        <v>474</v>
      </c>
      <c r="H30" s="436"/>
      <c r="I30" s="436"/>
      <c r="J30" s="436"/>
      <c r="K30" s="437"/>
    </row>
    <row r="31" spans="2:58" ht="48.75" customHeight="1" thickBot="1">
      <c r="B31" s="440"/>
      <c r="C31" s="158">
        <v>7</v>
      </c>
      <c r="D31" s="194" t="s">
        <v>221</v>
      </c>
      <c r="E31" s="179" t="s">
        <v>193</v>
      </c>
      <c r="F31" s="180">
        <f>IF(E31="Yes",7,0)</f>
        <v>0</v>
      </c>
      <c r="G31" s="543" t="s">
        <v>477</v>
      </c>
      <c r="H31" s="544"/>
      <c r="I31" s="544"/>
      <c r="J31" s="544"/>
      <c r="K31" s="545"/>
    </row>
    <row r="32" spans="2:58" ht="48.75" customHeight="1">
      <c r="B32" s="438" t="s">
        <v>257</v>
      </c>
      <c r="C32" s="227">
        <v>1</v>
      </c>
      <c r="D32" s="206" t="s">
        <v>222</v>
      </c>
      <c r="E32" s="181" t="s">
        <v>266</v>
      </c>
      <c r="F32" s="182">
        <f t="shared" si="3"/>
        <v>1</v>
      </c>
      <c r="G32" s="456"/>
      <c r="H32" s="457"/>
      <c r="I32" s="457"/>
      <c r="J32" s="457"/>
      <c r="K32" s="458"/>
    </row>
    <row r="33" spans="2:11" ht="45.95" customHeight="1">
      <c r="B33" s="439"/>
      <c r="C33" s="143">
        <v>2</v>
      </c>
      <c r="D33" s="203" t="s">
        <v>223</v>
      </c>
      <c r="E33" s="177" t="s">
        <v>266</v>
      </c>
      <c r="F33" s="178">
        <f>IF(E33="Yes",5,0)</f>
        <v>5</v>
      </c>
      <c r="G33" s="444"/>
      <c r="H33" s="445"/>
      <c r="I33" s="445"/>
      <c r="J33" s="445"/>
      <c r="K33" s="446"/>
    </row>
    <row r="34" spans="2:11" ht="45.95" customHeight="1">
      <c r="B34" s="439"/>
      <c r="C34" s="131">
        <v>3</v>
      </c>
      <c r="D34" s="202" t="s">
        <v>224</v>
      </c>
      <c r="E34" s="140" t="s">
        <v>193</v>
      </c>
      <c r="F34" s="135">
        <f>IF(E34="Yes",5,0)</f>
        <v>0</v>
      </c>
      <c r="G34" s="453" t="s">
        <v>480</v>
      </c>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3.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465"/>
      <c r="H37" s="466"/>
      <c r="I37" s="466"/>
      <c r="J37" s="466"/>
      <c r="K37" s="467"/>
    </row>
    <row r="38" spans="2:11" ht="50.25"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315</v>
      </c>
      <c r="F39" s="178">
        <f>IF(OR(E39="Yes",E39="NA"),7,0)</f>
        <v>7</v>
      </c>
      <c r="G39" s="195"/>
      <c r="H39" s="196"/>
      <c r="I39" s="196"/>
      <c r="J39" s="196"/>
      <c r="K39" s="19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462"/>
      <c r="H41" s="463"/>
      <c r="I41" s="463"/>
      <c r="J41" s="463"/>
      <c r="K41" s="464"/>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193</v>
      </c>
      <c r="F44" s="135">
        <f>IF(E44="Yes",1,0)</f>
        <v>0</v>
      </c>
      <c r="G44" s="453" t="s">
        <v>476</v>
      </c>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193</v>
      </c>
      <c r="F48" s="137">
        <f>IF(E48="Yes",1,0)</f>
        <v>0</v>
      </c>
      <c r="G48" s="447" t="s">
        <v>479</v>
      </c>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315</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193</v>
      </c>
      <c r="F53" s="190">
        <f>IF(E53="Yes",1,0)</f>
        <v>0</v>
      </c>
      <c r="G53" s="444" t="s">
        <v>478</v>
      </c>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7">
    <mergeCell ref="I14:J14"/>
    <mergeCell ref="B1:D2"/>
    <mergeCell ref="C3:D3"/>
    <mergeCell ref="C4:D4"/>
    <mergeCell ref="H4:J4"/>
    <mergeCell ref="C5:D5"/>
    <mergeCell ref="B7:B9"/>
    <mergeCell ref="C7:D7"/>
    <mergeCell ref="C8:D9"/>
    <mergeCell ref="C11:D11"/>
    <mergeCell ref="C12:D12"/>
    <mergeCell ref="C13:D13"/>
    <mergeCell ref="C14:D14"/>
    <mergeCell ref="G14:H14"/>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G23:K23"/>
    <mergeCell ref="B36:B40"/>
    <mergeCell ref="G36:K36"/>
    <mergeCell ref="G38:K38"/>
    <mergeCell ref="G40:K40"/>
    <mergeCell ref="B24:D24"/>
    <mergeCell ref="G24:K24"/>
    <mergeCell ref="B25:B31"/>
    <mergeCell ref="G25:K25"/>
    <mergeCell ref="G26:K26"/>
    <mergeCell ref="G27:K27"/>
    <mergeCell ref="G28:K28"/>
    <mergeCell ref="G29:K29"/>
    <mergeCell ref="G30:K30"/>
    <mergeCell ref="G31:K31"/>
    <mergeCell ref="G37:K37"/>
    <mergeCell ref="B41:B45"/>
    <mergeCell ref="G42:K42"/>
    <mergeCell ref="G43:K43"/>
    <mergeCell ref="B32:B35"/>
    <mergeCell ref="G32:K32"/>
    <mergeCell ref="G33:K33"/>
    <mergeCell ref="G34:K34"/>
    <mergeCell ref="G35:K35"/>
    <mergeCell ref="G44:K44"/>
    <mergeCell ref="G45:K45"/>
    <mergeCell ref="G41:K41"/>
    <mergeCell ref="B46:B48"/>
    <mergeCell ref="G46:K46"/>
    <mergeCell ref="G47:K47"/>
    <mergeCell ref="G48:K48"/>
    <mergeCell ref="B49:B53"/>
    <mergeCell ref="G49:K49"/>
    <mergeCell ref="G50:K50"/>
    <mergeCell ref="G51:K51"/>
    <mergeCell ref="G52:K52"/>
    <mergeCell ref="G53:K53"/>
  </mergeCells>
  <conditionalFormatting sqref="E17:E23">
    <cfRule type="notContainsText" dxfId="223" priority="9" operator="notContains" text="YES">
      <formula>ISERROR(SEARCH("YES",E17))</formula>
    </cfRule>
  </conditionalFormatting>
  <conditionalFormatting sqref="E43:E53">
    <cfRule type="containsText" dxfId="222" priority="7" operator="containsText" text="No">
      <formula>NOT(ISERROR(SEARCH("No",E43)))</formula>
    </cfRule>
  </conditionalFormatting>
  <conditionalFormatting sqref="E25:F42">
    <cfRule type="containsText" dxfId="221" priority="8" operator="containsText" text="No">
      <formula>NOT(ISERROR(SEARCH("No",E25)))</formula>
    </cfRule>
  </conditionalFormatting>
  <conditionalFormatting sqref="H4:J4">
    <cfRule type="cellIs" dxfId="220" priority="1" operator="equal">
      <formula>"NO PASA"</formula>
    </cfRule>
    <cfRule type="cellIs" dxfId="219" priority="2" operator="equal">
      <formula>"NO PASA"</formula>
    </cfRule>
    <cfRule type="cellIs" dxfId="218" priority="3" operator="equal">
      <formula>"PASA"</formula>
    </cfRule>
    <cfRule type="cellIs" dxfId="217" priority="4" operator="equal">
      <formula>"PASA"</formula>
    </cfRule>
    <cfRule type="cellIs" dxfId="216" priority="5" operator="equal">
      <formula>"NO PASA"</formula>
    </cfRule>
    <cfRule type="containsText" dxfId="215" priority="6" operator="containsText" text="PASA">
      <formula>NOT(ISERROR(SEARCH("PASA",H4)))</formula>
    </cfRule>
    <cfRule type="cellIs" dxfId="214" priority="13" operator="equal">
      <formula>$BC$7</formula>
    </cfRule>
    <cfRule type="cellIs" dxfId="213" priority="14" operator="equal">
      <formula>$BC$6</formula>
    </cfRule>
    <cfRule type="cellIs" dxfId="212" priority="15" operator="equal">
      <formula>$BC$4</formula>
    </cfRule>
  </conditionalFormatting>
  <conditionalFormatting sqref="I14">
    <cfRule type="cellIs" dxfId="211" priority="10" operator="greaterThanOrEqual">
      <formula>0.9</formula>
    </cfRule>
    <cfRule type="cellIs" dxfId="210" priority="11" operator="between">
      <formula>0.71</formula>
      <formula>0.9</formula>
    </cfRule>
    <cfRule type="cellIs" dxfId="209" priority="12" operator="lessThan">
      <formula>0.71</formula>
    </cfRule>
  </conditionalFormatting>
  <dataValidations count="3">
    <dataValidation type="list" allowBlank="1" showInputMessage="1" showErrorMessage="1" sqref="E17:E23" xr:uid="{00000000-0002-0000-0A00-000000000000}">
      <formula1>"Yes,No,Cured in Moment"</formula1>
    </dataValidation>
    <dataValidation type="list" allowBlank="1" showInputMessage="1" showErrorMessage="1" sqref="E52:E53 E25:E37 E40:E49" xr:uid="{00000000-0002-0000-0A00-000001000000}">
      <formula1>"Yes,No"</formula1>
    </dataValidation>
    <dataValidation type="list" allowBlank="1" showInputMessage="1" showErrorMessage="1" sqref="E38:E39 E50:E51" xr:uid="{00000000-0002-0000-0A00-000002000000}">
      <formula1>"Yes,No,NA"</formula1>
    </dataValidation>
  </dataValidations>
  <pageMargins left="0.25" right="0.25" top="0.75" bottom="0.75" header="0.3" footer="0.3"/>
  <pageSetup paperSize="9" scale="47" fitToHeight="3" orientation="landscape" r:id="rId1"/>
  <rowBreaks count="1" manualBreakCount="1">
    <brk id="40" max="10"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B1:H103"/>
  <sheetViews>
    <sheetView zoomScale="60" zoomScaleNormal="60" workbookViewId="0">
      <selection activeCell="D12" sqref="D12"/>
    </sheetView>
  </sheetViews>
  <sheetFormatPr baseColWidth="10" defaultColWidth="8.85546875" defaultRowHeight="18"/>
  <cols>
    <col min="1" max="1" width="4.42578125" style="124" customWidth="1"/>
    <col min="2" max="2" width="40.140625" style="122"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318</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81.75" customHeight="1">
      <c r="B7" s="300" t="s">
        <v>481</v>
      </c>
      <c r="C7" s="130" t="s">
        <v>380</v>
      </c>
      <c r="D7" s="284" t="s">
        <v>387</v>
      </c>
      <c r="E7" s="130"/>
      <c r="F7" s="134"/>
    </row>
    <row r="8" spans="2:8" ht="75.75" customHeight="1">
      <c r="B8" s="298" t="s">
        <v>482</v>
      </c>
      <c r="C8" s="130" t="s">
        <v>380</v>
      </c>
      <c r="D8" s="284" t="s">
        <v>387</v>
      </c>
      <c r="E8" s="127"/>
      <c r="F8" s="135"/>
    </row>
    <row r="9" spans="2:8" ht="81" customHeight="1">
      <c r="B9" s="302" t="s">
        <v>483</v>
      </c>
      <c r="C9" s="130" t="s">
        <v>380</v>
      </c>
      <c r="D9" s="284" t="s">
        <v>387</v>
      </c>
      <c r="E9" s="127"/>
      <c r="F9" s="136"/>
    </row>
    <row r="10" spans="2:8" ht="77.25" customHeight="1">
      <c r="B10" s="302" t="s">
        <v>484</v>
      </c>
      <c r="C10" s="130" t="s">
        <v>380</v>
      </c>
      <c r="D10" s="138">
        <v>46295</v>
      </c>
      <c r="E10" s="131"/>
      <c r="F10" s="136"/>
    </row>
    <row r="11" spans="2:8" ht="54">
      <c r="B11" s="302" t="s">
        <v>485</v>
      </c>
      <c r="C11" s="130" t="s">
        <v>380</v>
      </c>
      <c r="D11" s="284" t="s">
        <v>387</v>
      </c>
      <c r="E11" s="131"/>
      <c r="F11" s="136"/>
    </row>
    <row r="12" spans="2:8" ht="44.1" customHeight="1">
      <c r="B12" s="302" t="s">
        <v>486</v>
      </c>
      <c r="C12" s="130" t="s">
        <v>380</v>
      </c>
      <c r="D12" s="138">
        <v>46295</v>
      </c>
      <c r="E12" s="131"/>
      <c r="F12" s="136"/>
    </row>
    <row r="13" spans="2:8" s="126" customFormat="1" ht="30.95" customHeight="1">
      <c r="B13" s="302"/>
      <c r="C13" s="131"/>
      <c r="D13" s="131"/>
      <c r="E13" s="131"/>
      <c r="F13" s="136"/>
    </row>
    <row r="14" spans="2:8" ht="39.950000000000003" customHeight="1">
      <c r="B14" s="302"/>
      <c r="C14" s="131"/>
      <c r="D14" s="131"/>
      <c r="E14" s="131"/>
      <c r="F14" s="136"/>
    </row>
    <row r="15" spans="2:8" ht="39.950000000000003" customHeight="1">
      <c r="B15" s="301"/>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268</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2:E2"/>
    <mergeCell ref="B3:F3"/>
    <mergeCell ref="B4:F4"/>
    <mergeCell ref="B5:B6"/>
    <mergeCell ref="C5:C6"/>
    <mergeCell ref="D5:D6"/>
    <mergeCell ref="E5:E6"/>
    <mergeCell ref="F5:F6"/>
    <mergeCell ref="B18:F18"/>
    <mergeCell ref="B19:F19"/>
    <mergeCell ref="B20:B21"/>
    <mergeCell ref="C20:C21"/>
    <mergeCell ref="D20:D21"/>
    <mergeCell ref="E20:E21"/>
    <mergeCell ref="F20:F21"/>
    <mergeCell ref="B32:F32"/>
    <mergeCell ref="B33:F33"/>
    <mergeCell ref="B34:B35"/>
    <mergeCell ref="C34:C35"/>
    <mergeCell ref="D34:D35"/>
    <mergeCell ref="E34:E35"/>
    <mergeCell ref="F34:F35"/>
  </mergeCells>
  <conditionalFormatting sqref="F31">
    <cfRule type="expression" dxfId="208" priority="1" stopIfTrue="1">
      <formula>IF($E31="NA",TRUE,FALSE)</formula>
    </cfRule>
  </conditionalFormatting>
  <dataValidations count="3">
    <dataValidation type="list" allowBlank="1" showInputMessage="1" showErrorMessage="1" sqref="E31" xr:uid="{00000000-0002-0000-0B00-000000000000}">
      <formula1>"Yes,No,NA"</formula1>
    </dataValidation>
    <dataValidation type="list" allowBlank="1" showInputMessage="1" showErrorMessage="1" sqref="E17" xr:uid="{00000000-0002-0000-0B00-000001000000}">
      <formula1>"Yes,No"</formula1>
    </dataValidation>
    <dataValidation type="list" allowBlank="1" showInputMessage="1" showErrorMessage="1" sqref="E5:E6 E20:E21 E34:E35" xr:uid="{00000000-0002-0000-0B00-000002000000}">
      <formula1>"Yes,No,Cured in Moment"</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499984740745262"/>
  </sheetPr>
  <dimension ref="B1:BF56"/>
  <sheetViews>
    <sheetView topLeftCell="B1" zoomScale="60" zoomScaleNormal="60" workbookViewId="0">
      <selection activeCell="G49" sqref="G49:K49"/>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19.5703125" style="124"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42" customHeight="1" thickBot="1">
      <c r="B3" s="210" t="s">
        <v>208</v>
      </c>
      <c r="C3" s="507" t="s">
        <v>322</v>
      </c>
      <c r="D3" s="508"/>
      <c r="E3" s="161"/>
      <c r="G3" s="220"/>
      <c r="H3" s="220"/>
      <c r="I3" s="220"/>
      <c r="J3" s="220"/>
    </row>
    <row r="4" spans="2:55" ht="78" customHeight="1" thickBot="1">
      <c r="B4" s="211" t="s">
        <v>275</v>
      </c>
      <c r="C4" s="509" t="s">
        <v>370</v>
      </c>
      <c r="D4" s="510"/>
      <c r="E4" s="150"/>
      <c r="G4" s="186" t="s">
        <v>11</v>
      </c>
      <c r="H4" s="511" t="str">
        <f>IF(COUNTIF(BB6,"0")&gt;0,"PASA","NO PASA")</f>
        <v>PASA</v>
      </c>
      <c r="I4" s="512"/>
      <c r="J4" s="513"/>
      <c r="BA4" s="221" t="s">
        <v>174</v>
      </c>
      <c r="BB4" s="123">
        <f>COUNTIF(E17:F23,BA4)</f>
        <v>0</v>
      </c>
      <c r="BC4" s="225" t="s">
        <v>262</v>
      </c>
    </row>
    <row r="5" spans="2:55" ht="42" customHeight="1" thickBot="1">
      <c r="B5" s="236" t="s">
        <v>203</v>
      </c>
      <c r="C5" s="514">
        <v>46274</v>
      </c>
      <c r="D5" s="515"/>
      <c r="G5" s="228" t="s">
        <v>198</v>
      </c>
      <c r="H5" s="185" t="s">
        <v>3</v>
      </c>
      <c r="I5" s="229" t="s">
        <v>4</v>
      </c>
      <c r="J5" s="230" t="s">
        <v>5</v>
      </c>
      <c r="BC5" s="225"/>
    </row>
    <row r="6" spans="2:55" ht="48" customHeight="1" thickBot="1">
      <c r="C6" s="122"/>
      <c r="E6" s="128"/>
      <c r="G6" s="187" t="s">
        <v>254</v>
      </c>
      <c r="H6" s="160">
        <v>31</v>
      </c>
      <c r="I6" s="160">
        <f>SUM(F25:F31)</f>
        <v>21</v>
      </c>
      <c r="J6" s="167">
        <f t="shared" ref="J6:J9" si="0">I6/H6</f>
        <v>0.67741935483870963</v>
      </c>
      <c r="BA6" s="221" t="s">
        <v>193</v>
      </c>
      <c r="BB6" s="123">
        <f>COUNTIF(E17:F23,BA6)</f>
        <v>0</v>
      </c>
      <c r="BC6" s="225" t="s">
        <v>263</v>
      </c>
    </row>
    <row r="7" spans="2:55" ht="48" customHeight="1" thickBot="1">
      <c r="B7" s="438" t="s">
        <v>243</v>
      </c>
      <c r="C7" s="516" t="s">
        <v>252</v>
      </c>
      <c r="D7" s="517"/>
      <c r="E7" s="164"/>
      <c r="G7" s="168" t="s">
        <v>199</v>
      </c>
      <c r="H7" s="169">
        <v>18</v>
      </c>
      <c r="I7" s="169">
        <f>SUM(F32:F35)</f>
        <v>12</v>
      </c>
      <c r="J7" s="170">
        <f t="shared" si="0"/>
        <v>0.66666666666666663</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18</v>
      </c>
      <c r="J9" s="170">
        <f t="shared" si="0"/>
        <v>0.94736842105263153</v>
      </c>
    </row>
    <row r="10" spans="2:55" ht="48" customHeight="1" thickBot="1">
      <c r="B10" s="163"/>
      <c r="C10" s="163"/>
      <c r="D10" s="162"/>
      <c r="E10" s="166"/>
      <c r="G10" s="187" t="s">
        <v>242</v>
      </c>
      <c r="H10" s="160">
        <v>13</v>
      </c>
      <c r="I10" s="160">
        <f>SUM(F46:F48)</f>
        <v>12</v>
      </c>
      <c r="J10" s="171">
        <f>I10/H10</f>
        <v>0.92307692307692313</v>
      </c>
    </row>
    <row r="11" spans="2:55" ht="48" customHeight="1" thickBot="1">
      <c r="B11" s="210" t="s">
        <v>248</v>
      </c>
      <c r="C11" s="522" t="s">
        <v>251</v>
      </c>
      <c r="D11" s="523"/>
      <c r="E11" s="128"/>
      <c r="G11" s="168" t="s">
        <v>256</v>
      </c>
      <c r="H11" s="169">
        <v>5</v>
      </c>
      <c r="I11" s="169">
        <f>SUM(F49:F53)</f>
        <v>5</v>
      </c>
      <c r="J11" s="170">
        <f t="shared" ref="J11:J12" si="1">I11/H11</f>
        <v>1</v>
      </c>
    </row>
    <row r="12" spans="2:55" ht="72.75" customHeight="1" thickBot="1">
      <c r="B12" s="219" t="s">
        <v>244</v>
      </c>
      <c r="C12" s="524" t="s">
        <v>246</v>
      </c>
      <c r="D12" s="525"/>
      <c r="E12" s="166"/>
      <c r="G12" s="198" t="s">
        <v>271</v>
      </c>
      <c r="H12" s="199">
        <f>SUM(H6:H11)</f>
        <v>117</v>
      </c>
      <c r="I12" s="199">
        <f>SUM(I6:I11)</f>
        <v>99</v>
      </c>
      <c r="J12" s="200">
        <f t="shared" si="1"/>
        <v>0.84615384615384615</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0.84615384615384615</v>
      </c>
      <c r="J14" s="504"/>
    </row>
    <row r="15" spans="2:55" ht="41.1" customHeight="1" thickBot="1"/>
    <row r="16" spans="2:55" ht="45.95" customHeight="1" thickBot="1">
      <c r="B16" s="477" t="s">
        <v>11</v>
      </c>
      <c r="C16" s="478"/>
      <c r="D16" s="478"/>
      <c r="E16" s="477" t="s">
        <v>195</v>
      </c>
      <c r="F16" s="479"/>
      <c r="G16" s="477"/>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G20" s="474"/>
      <c r="H20" s="475"/>
      <c r="I20" s="475"/>
      <c r="J20" s="475"/>
      <c r="K20" s="476"/>
      <c r="V20" s="122"/>
      <c r="AY20" s="172" t="str">
        <f t="shared" si="2"/>
        <v>Yes</v>
      </c>
      <c r="BA20" s="222"/>
      <c r="BB20" s="122"/>
      <c r="BC20" s="122"/>
    </row>
    <row r="21" spans="2:58" s="172" customFormat="1" ht="45.95" customHeight="1">
      <c r="B21" s="439"/>
      <c r="C21" s="214">
        <v>5</v>
      </c>
      <c r="D21" s="215" t="s">
        <v>213</v>
      </c>
      <c r="E21" s="496" t="s">
        <v>266</v>
      </c>
      <c r="F21" s="497"/>
      <c r="G21" s="493"/>
      <c r="H21" s="494"/>
      <c r="I21" s="494"/>
      <c r="J21" s="494"/>
      <c r="K21" s="495"/>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193</v>
      </c>
      <c r="F25" s="176">
        <f>IF(E25="Yes",5,0)</f>
        <v>0</v>
      </c>
      <c r="G25" s="583" t="s">
        <v>399</v>
      </c>
      <c r="H25" s="584"/>
      <c r="I25" s="584"/>
      <c r="J25" s="584"/>
      <c r="K25" s="585"/>
    </row>
    <row r="26" spans="2:58" ht="59.25" customHeight="1">
      <c r="B26" s="439"/>
      <c r="C26" s="127">
        <v>2</v>
      </c>
      <c r="D26" s="192" t="s">
        <v>219</v>
      </c>
      <c r="E26" s="140" t="s">
        <v>193</v>
      </c>
      <c r="F26" s="135">
        <f>IF(E26="Yes",5,0)</f>
        <v>0</v>
      </c>
      <c r="G26" s="453" t="s">
        <v>400</v>
      </c>
      <c r="H26" s="454"/>
      <c r="I26" s="454"/>
      <c r="J26" s="454"/>
      <c r="K26" s="455"/>
    </row>
    <row r="27" spans="2:58" ht="45.95" customHeight="1">
      <c r="B27" s="439"/>
      <c r="C27" s="143">
        <v>3</v>
      </c>
      <c r="D27" s="193" t="s">
        <v>216</v>
      </c>
      <c r="E27" s="177" t="s">
        <v>266</v>
      </c>
      <c r="F27" s="178">
        <f>IF(E27="Yes",5,0)</f>
        <v>5</v>
      </c>
      <c r="G27" s="444"/>
      <c r="H27" s="445"/>
      <c r="I27" s="445"/>
      <c r="J27" s="445"/>
      <c r="K27" s="446"/>
    </row>
    <row r="28" spans="2:58" ht="61.5" customHeight="1">
      <c r="B28" s="439"/>
      <c r="C28" s="127">
        <v>4</v>
      </c>
      <c r="D28" s="192" t="s">
        <v>217</v>
      </c>
      <c r="E28" s="140" t="s">
        <v>266</v>
      </c>
      <c r="F28" s="135">
        <f t="shared" ref="F28:F32" si="3">IF(E28="Yes",1,0)</f>
        <v>1</v>
      </c>
      <c r="G28" s="453"/>
      <c r="H28" s="454"/>
      <c r="I28" s="454"/>
      <c r="J28" s="454"/>
      <c r="K28" s="455"/>
    </row>
    <row r="29" spans="2:58" ht="50.25" customHeight="1">
      <c r="B29" s="439"/>
      <c r="C29" s="151">
        <v>5</v>
      </c>
      <c r="D29" s="193" t="s">
        <v>218</v>
      </c>
      <c r="E29" s="177" t="s">
        <v>266</v>
      </c>
      <c r="F29" s="178">
        <f t="shared" si="3"/>
        <v>1</v>
      </c>
      <c r="G29" s="573"/>
      <c r="H29" s="574"/>
      <c r="I29" s="574"/>
      <c r="J29" s="574"/>
      <c r="K29" s="575"/>
    </row>
    <row r="30" spans="2:58" ht="47.25" customHeight="1">
      <c r="B30" s="439"/>
      <c r="C30" s="131">
        <v>6</v>
      </c>
      <c r="D30" s="192" t="s">
        <v>220</v>
      </c>
      <c r="E30" s="140" t="s">
        <v>266</v>
      </c>
      <c r="F30" s="135">
        <f>IF(E30="Yes",7,0)</f>
        <v>7</v>
      </c>
      <c r="G30" s="474"/>
      <c r="H30" s="475"/>
      <c r="I30" s="475"/>
      <c r="J30" s="475"/>
      <c r="K30" s="476"/>
    </row>
    <row r="31" spans="2:58" ht="48.75" customHeight="1" thickBot="1">
      <c r="B31" s="440"/>
      <c r="C31" s="158">
        <v>7</v>
      </c>
      <c r="D31" s="194" t="s">
        <v>221</v>
      </c>
      <c r="E31" s="179" t="s">
        <v>266</v>
      </c>
      <c r="F31" s="180">
        <f>IF(E31="Yes",7,0)</f>
        <v>7</v>
      </c>
      <c r="G31" s="543"/>
      <c r="H31" s="544"/>
      <c r="I31" s="544"/>
      <c r="J31" s="544"/>
      <c r="K31" s="545"/>
    </row>
    <row r="32" spans="2:58" ht="48.75" customHeight="1">
      <c r="B32" s="438" t="s">
        <v>257</v>
      </c>
      <c r="C32" s="227">
        <v>1</v>
      </c>
      <c r="D32" s="206" t="s">
        <v>222</v>
      </c>
      <c r="E32" s="181" t="s">
        <v>193</v>
      </c>
      <c r="F32" s="182">
        <f t="shared" si="3"/>
        <v>0</v>
      </c>
      <c r="G32" s="566" t="s">
        <v>401</v>
      </c>
      <c r="H32" s="567"/>
      <c r="I32" s="567"/>
      <c r="J32" s="567"/>
      <c r="K32" s="568"/>
    </row>
    <row r="33" spans="2:11" ht="45.95" customHeight="1">
      <c r="B33" s="439"/>
      <c r="C33" s="143">
        <v>2</v>
      </c>
      <c r="D33" s="203" t="s">
        <v>223</v>
      </c>
      <c r="E33" s="177" t="s">
        <v>266</v>
      </c>
      <c r="F33" s="178">
        <f>IF(E33="Yes",5,0)</f>
        <v>5</v>
      </c>
      <c r="G33" s="444"/>
      <c r="H33" s="445"/>
      <c r="I33" s="445"/>
      <c r="J33" s="445"/>
      <c r="K33" s="446"/>
    </row>
    <row r="34" spans="2:11" ht="45.95" customHeight="1">
      <c r="B34" s="439"/>
      <c r="C34" s="131">
        <v>3</v>
      </c>
      <c r="D34" s="202" t="s">
        <v>224</v>
      </c>
      <c r="E34" s="140" t="s">
        <v>193</v>
      </c>
      <c r="F34" s="135">
        <f>IF(E34="Yes",5,0)</f>
        <v>0</v>
      </c>
      <c r="G34" s="572" t="s">
        <v>402</v>
      </c>
      <c r="H34" s="570"/>
      <c r="I34" s="570"/>
      <c r="J34" s="570"/>
      <c r="K34" s="571"/>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465"/>
      <c r="H37" s="466"/>
      <c r="I37" s="466"/>
      <c r="J37" s="466"/>
      <c r="K37" s="467"/>
    </row>
    <row r="38" spans="2:11" ht="50.25" customHeight="1">
      <c r="B38" s="439"/>
      <c r="C38" s="127">
        <v>3</v>
      </c>
      <c r="D38" s="202" t="s">
        <v>228</v>
      </c>
      <c r="E38" s="140" t="s">
        <v>315</v>
      </c>
      <c r="F38" s="135">
        <f>IF(OR(E38="Yes",E38="NA"),7,0)</f>
        <v>7</v>
      </c>
      <c r="G38" s="474"/>
      <c r="H38" s="475"/>
      <c r="I38" s="475"/>
      <c r="J38" s="475"/>
      <c r="K38" s="476"/>
    </row>
    <row r="39" spans="2:11" ht="68.25" customHeight="1">
      <c r="B39" s="439"/>
      <c r="C39" s="174">
        <v>4</v>
      </c>
      <c r="D39" s="203" t="s">
        <v>273</v>
      </c>
      <c r="E39" s="177" t="s">
        <v>266</v>
      </c>
      <c r="F39" s="178">
        <f>IF(OR(E39="Yes",E39="NA"),7,0)</f>
        <v>7</v>
      </c>
      <c r="G39" s="195"/>
      <c r="H39" s="196"/>
      <c r="I39" s="196"/>
      <c r="J39" s="196"/>
      <c r="K39" s="19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462"/>
      <c r="H41" s="463"/>
      <c r="I41" s="463"/>
      <c r="J41" s="463"/>
      <c r="K41" s="464"/>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193</v>
      </c>
      <c r="F44" s="135">
        <f>IF(E44="Yes",1,0)</f>
        <v>0</v>
      </c>
      <c r="G44" s="572" t="s">
        <v>403</v>
      </c>
      <c r="H44" s="570"/>
      <c r="I44" s="570"/>
      <c r="J44" s="570"/>
      <c r="K44" s="571"/>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193</v>
      </c>
      <c r="F48" s="137">
        <f>IF(E48="Yes",1,0)</f>
        <v>0</v>
      </c>
      <c r="G48" s="580" t="s">
        <v>404</v>
      </c>
      <c r="H48" s="581"/>
      <c r="I48" s="581"/>
      <c r="J48" s="581"/>
      <c r="K48" s="582"/>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315</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266</v>
      </c>
      <c r="F53" s="190">
        <f>IF(E53="Yes",1,0)</f>
        <v>1</v>
      </c>
      <c r="G53" s="444"/>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8">
    <mergeCell ref="G20:K20"/>
    <mergeCell ref="G30:K30"/>
    <mergeCell ref="I14:J14"/>
    <mergeCell ref="B1:D2"/>
    <mergeCell ref="C3:D3"/>
    <mergeCell ref="C4:D4"/>
    <mergeCell ref="H4:J4"/>
    <mergeCell ref="C5:D5"/>
    <mergeCell ref="B7:B9"/>
    <mergeCell ref="C7:D7"/>
    <mergeCell ref="C8:D9"/>
    <mergeCell ref="C11:D11"/>
    <mergeCell ref="C12:D12"/>
    <mergeCell ref="C13:D13"/>
    <mergeCell ref="C14:D14"/>
    <mergeCell ref="G14:H14"/>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G23:K23"/>
    <mergeCell ref="G29:K29"/>
    <mergeCell ref="B36:B40"/>
    <mergeCell ref="G36:K36"/>
    <mergeCell ref="G38:K38"/>
    <mergeCell ref="G40:K40"/>
    <mergeCell ref="B24:D24"/>
    <mergeCell ref="G24:K24"/>
    <mergeCell ref="B25:B31"/>
    <mergeCell ref="G25:K25"/>
    <mergeCell ref="G26:K26"/>
    <mergeCell ref="G27:K27"/>
    <mergeCell ref="G28:K28"/>
    <mergeCell ref="G31:K31"/>
    <mergeCell ref="B41:B45"/>
    <mergeCell ref="G42:K42"/>
    <mergeCell ref="G43:K43"/>
    <mergeCell ref="B32:B35"/>
    <mergeCell ref="G32:K32"/>
    <mergeCell ref="G33:K33"/>
    <mergeCell ref="G34:K34"/>
    <mergeCell ref="G35:K35"/>
    <mergeCell ref="G44:K44"/>
    <mergeCell ref="G45:K45"/>
    <mergeCell ref="G41:K41"/>
    <mergeCell ref="G37:K37"/>
    <mergeCell ref="B46:B48"/>
    <mergeCell ref="G46:K46"/>
    <mergeCell ref="G47:K47"/>
    <mergeCell ref="G48:K48"/>
    <mergeCell ref="B49:B53"/>
    <mergeCell ref="G49:K49"/>
    <mergeCell ref="G50:K50"/>
    <mergeCell ref="G51:K51"/>
    <mergeCell ref="G52:K52"/>
    <mergeCell ref="G53:K53"/>
  </mergeCells>
  <conditionalFormatting sqref="E17:E23">
    <cfRule type="notContainsText" dxfId="207" priority="9" operator="notContains" text="YES">
      <formula>ISERROR(SEARCH("YES",E17))</formula>
    </cfRule>
  </conditionalFormatting>
  <conditionalFormatting sqref="E43:E53">
    <cfRule type="containsText" dxfId="206" priority="7" operator="containsText" text="No">
      <formula>NOT(ISERROR(SEARCH("No",E43)))</formula>
    </cfRule>
  </conditionalFormatting>
  <conditionalFormatting sqref="E25:F42">
    <cfRule type="containsText" dxfId="205" priority="8" operator="containsText" text="No">
      <formula>NOT(ISERROR(SEARCH("No",E25)))</formula>
    </cfRule>
  </conditionalFormatting>
  <conditionalFormatting sqref="H4:J4">
    <cfRule type="cellIs" dxfId="204" priority="1" operator="equal">
      <formula>"NO PASA"</formula>
    </cfRule>
    <cfRule type="cellIs" dxfId="203" priority="2" operator="equal">
      <formula>"NO PASA"</formula>
    </cfRule>
    <cfRule type="cellIs" dxfId="202" priority="3" operator="equal">
      <formula>"PASA"</formula>
    </cfRule>
    <cfRule type="cellIs" dxfId="201" priority="4" operator="equal">
      <formula>"PASA"</formula>
    </cfRule>
    <cfRule type="cellIs" dxfId="200" priority="5" operator="equal">
      <formula>"NO PASA"</formula>
    </cfRule>
    <cfRule type="containsText" dxfId="199" priority="6" operator="containsText" text="PASA">
      <formula>NOT(ISERROR(SEARCH("PASA",H4)))</formula>
    </cfRule>
    <cfRule type="cellIs" dxfId="198" priority="13" operator="equal">
      <formula>$BC$7</formula>
    </cfRule>
    <cfRule type="cellIs" dxfId="197" priority="14" operator="equal">
      <formula>$BC$6</formula>
    </cfRule>
    <cfRule type="cellIs" dxfId="196" priority="15" operator="equal">
      <formula>$BC$4</formula>
    </cfRule>
  </conditionalFormatting>
  <conditionalFormatting sqref="I14">
    <cfRule type="cellIs" dxfId="195" priority="10" operator="greaterThanOrEqual">
      <formula>0.9</formula>
    </cfRule>
    <cfRule type="cellIs" dxfId="194" priority="11" operator="between">
      <formula>0.71</formula>
      <formula>0.9</formula>
    </cfRule>
    <cfRule type="cellIs" dxfId="193" priority="12" operator="lessThan">
      <formula>0.71</formula>
    </cfRule>
  </conditionalFormatting>
  <dataValidations count="3">
    <dataValidation type="list" allowBlank="1" showInputMessage="1" showErrorMessage="1" sqref="E38:E39 E50:E51" xr:uid="{00000000-0002-0000-0C00-000000000000}">
      <formula1>"Yes,No,NA"</formula1>
    </dataValidation>
    <dataValidation type="list" allowBlank="1" showInputMessage="1" showErrorMessage="1" sqref="E52:E53 E25:E37 E40:E49" xr:uid="{00000000-0002-0000-0C00-000001000000}">
      <formula1>"Yes,No"</formula1>
    </dataValidation>
    <dataValidation type="list" allowBlank="1" showInputMessage="1" showErrorMessage="1" sqref="E17:E23" xr:uid="{00000000-0002-0000-0C00-000002000000}">
      <formula1>"Yes,No,Cured in Moment"</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499984740745262"/>
  </sheetPr>
  <dimension ref="B1:H103"/>
  <sheetViews>
    <sheetView zoomScale="60" zoomScaleNormal="60" workbookViewId="0">
      <selection activeCell="E14" sqref="E14"/>
    </sheetView>
  </sheetViews>
  <sheetFormatPr baseColWidth="10" defaultColWidth="8.85546875" defaultRowHeight="18"/>
  <cols>
    <col min="1" max="1" width="4.42578125" style="124" customWidth="1"/>
    <col min="2" max="2" width="51.28515625" style="122"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92.25" customHeight="1">
      <c r="B7" s="312" t="s">
        <v>405</v>
      </c>
      <c r="C7" s="312" t="s">
        <v>406</v>
      </c>
      <c r="D7" s="313">
        <v>46277</v>
      </c>
      <c r="E7" s="130"/>
      <c r="F7" s="134"/>
    </row>
    <row r="8" spans="2:8" ht="101.25" customHeight="1">
      <c r="B8" s="314" t="s">
        <v>407</v>
      </c>
      <c r="C8" s="312" t="s">
        <v>406</v>
      </c>
      <c r="D8" s="313">
        <v>46277</v>
      </c>
      <c r="E8" s="127"/>
      <c r="F8" s="135"/>
    </row>
    <row r="9" spans="2:8" ht="87.75" customHeight="1">
      <c r="B9" s="314" t="s">
        <v>408</v>
      </c>
      <c r="C9" s="312" t="s">
        <v>406</v>
      </c>
      <c r="D9" s="313">
        <v>46277</v>
      </c>
      <c r="E9" s="127"/>
      <c r="F9" s="136"/>
    </row>
    <row r="10" spans="2:8" ht="60.75" customHeight="1">
      <c r="B10" s="315" t="s">
        <v>409</v>
      </c>
      <c r="C10" s="312" t="s">
        <v>406</v>
      </c>
      <c r="D10" s="313">
        <v>46277</v>
      </c>
      <c r="E10" s="131"/>
      <c r="F10" s="136"/>
    </row>
    <row r="11" spans="2:8" ht="102.75" customHeight="1">
      <c r="B11" s="315" t="s">
        <v>410</v>
      </c>
      <c r="C11" s="312" t="s">
        <v>406</v>
      </c>
      <c r="D11" s="313">
        <v>46277</v>
      </c>
      <c r="E11" s="131"/>
      <c r="F11" s="136"/>
    </row>
    <row r="12" spans="2:8" ht="63.75" customHeight="1">
      <c r="B12" s="302"/>
      <c r="C12" s="130"/>
      <c r="D12" s="307"/>
      <c r="E12" s="131"/>
      <c r="F12" s="136"/>
    </row>
    <row r="13" spans="2:8" s="126" customFormat="1" ht="60.75" customHeight="1">
      <c r="B13" s="302"/>
      <c r="C13" s="130"/>
      <c r="D13" s="310"/>
      <c r="E13" s="131"/>
      <c r="F13" s="136"/>
    </row>
    <row r="14" spans="2:8" ht="39.950000000000003" customHeight="1">
      <c r="B14" s="302"/>
      <c r="C14" s="131"/>
      <c r="D14" s="131"/>
      <c r="E14" s="131"/>
      <c r="F14" s="136"/>
    </row>
    <row r="15" spans="2:8" ht="39.950000000000003" customHeight="1">
      <c r="B15" s="301"/>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268</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2:E2"/>
    <mergeCell ref="B3:F3"/>
    <mergeCell ref="B4:F4"/>
    <mergeCell ref="B5:B6"/>
    <mergeCell ref="C5:C6"/>
    <mergeCell ref="D5:D6"/>
    <mergeCell ref="E5:E6"/>
    <mergeCell ref="F5:F6"/>
    <mergeCell ref="B18:F18"/>
    <mergeCell ref="B19:F19"/>
    <mergeCell ref="B20:B21"/>
    <mergeCell ref="C20:C21"/>
    <mergeCell ref="D20:D21"/>
    <mergeCell ref="E20:E21"/>
    <mergeCell ref="F20:F21"/>
    <mergeCell ref="B32:F32"/>
    <mergeCell ref="B33:F33"/>
    <mergeCell ref="B34:B35"/>
    <mergeCell ref="C34:C35"/>
    <mergeCell ref="D34:D35"/>
    <mergeCell ref="E34:E35"/>
    <mergeCell ref="F34:F35"/>
  </mergeCells>
  <conditionalFormatting sqref="F31">
    <cfRule type="expression" dxfId="192" priority="1" stopIfTrue="1">
      <formula>IF($E31="NA",TRUE,FALSE)</formula>
    </cfRule>
  </conditionalFormatting>
  <dataValidations count="3">
    <dataValidation type="list" allowBlank="1" showInputMessage="1" showErrorMessage="1" sqref="E31" xr:uid="{00000000-0002-0000-0D00-000000000000}">
      <formula1>"Yes,No,NA"</formula1>
    </dataValidation>
    <dataValidation type="list" allowBlank="1" showInputMessage="1" showErrorMessage="1" sqref="E17" xr:uid="{00000000-0002-0000-0D00-000001000000}">
      <formula1>"Yes,No"</formula1>
    </dataValidation>
    <dataValidation type="list" allowBlank="1" showInputMessage="1" showErrorMessage="1" sqref="E5:E6 E20:E21 E34:E35" xr:uid="{00000000-0002-0000-0D00-000002000000}">
      <formula1>"Yes,No,Cured in Moment"</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F452D"/>
  </sheetPr>
  <dimension ref="B1:BF56"/>
  <sheetViews>
    <sheetView zoomScale="60" zoomScaleNormal="60" workbookViewId="0">
      <selection activeCell="F57" sqref="F57"/>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19.5703125" style="124"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42" customHeight="1" thickBot="1">
      <c r="B3" s="210" t="s">
        <v>208</v>
      </c>
      <c r="C3" s="507" t="s">
        <v>323</v>
      </c>
      <c r="D3" s="508"/>
      <c r="E3" s="161"/>
      <c r="G3" s="220"/>
      <c r="H3" s="220"/>
      <c r="I3" s="220"/>
      <c r="J3" s="220"/>
    </row>
    <row r="4" spans="2:55" ht="74.25" customHeight="1" thickBot="1">
      <c r="B4" s="211" t="s">
        <v>275</v>
      </c>
      <c r="C4" s="509" t="s">
        <v>368</v>
      </c>
      <c r="D4" s="510"/>
      <c r="E4" s="150"/>
      <c r="G4" s="186" t="s">
        <v>11</v>
      </c>
      <c r="H4" s="511" t="str">
        <f>IF(COUNTIF(BB6,"0")&gt;0,"PASA","NO PASA")</f>
        <v>PASA</v>
      </c>
      <c r="I4" s="512"/>
      <c r="J4" s="513"/>
      <c r="BA4" s="221" t="s">
        <v>174</v>
      </c>
      <c r="BB4" s="123">
        <f>COUNTIF(E17:F23,BA4)</f>
        <v>0</v>
      </c>
      <c r="BC4" s="225" t="s">
        <v>262</v>
      </c>
    </row>
    <row r="5" spans="2:55" ht="45.75" customHeight="1" thickBot="1">
      <c r="B5" s="236" t="s">
        <v>203</v>
      </c>
      <c r="C5" s="514">
        <v>46273</v>
      </c>
      <c r="D5" s="515"/>
      <c r="G5" s="228" t="s">
        <v>198</v>
      </c>
      <c r="H5" s="185" t="s">
        <v>3</v>
      </c>
      <c r="I5" s="229" t="s">
        <v>4</v>
      </c>
      <c r="J5" s="230" t="s">
        <v>5</v>
      </c>
      <c r="BC5" s="225"/>
    </row>
    <row r="6" spans="2:55" ht="48" customHeight="1" thickBot="1">
      <c r="C6" s="122"/>
      <c r="E6" s="128"/>
      <c r="G6" s="187" t="s">
        <v>254</v>
      </c>
      <c r="H6" s="160">
        <v>31</v>
      </c>
      <c r="I6" s="160">
        <f>SUM(F25:F31)</f>
        <v>23</v>
      </c>
      <c r="J6" s="167">
        <f t="shared" ref="J6:J9" si="0">I6/H6</f>
        <v>0.74193548387096775</v>
      </c>
      <c r="BA6" s="221" t="s">
        <v>193</v>
      </c>
      <c r="BB6" s="123">
        <f>COUNTIF(E17:F23,BA6)</f>
        <v>0</v>
      </c>
      <c r="BC6" s="225" t="s">
        <v>263</v>
      </c>
    </row>
    <row r="7" spans="2:55" ht="48" customHeight="1" thickBot="1">
      <c r="B7" s="438" t="s">
        <v>243</v>
      </c>
      <c r="C7" s="516" t="s">
        <v>252</v>
      </c>
      <c r="D7" s="517"/>
      <c r="E7" s="164"/>
      <c r="G7" s="168" t="s">
        <v>199</v>
      </c>
      <c r="H7" s="169">
        <v>18</v>
      </c>
      <c r="I7" s="169">
        <f>SUM(F32:F35)</f>
        <v>17</v>
      </c>
      <c r="J7" s="170">
        <f t="shared" si="0"/>
        <v>0.94444444444444442</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18</v>
      </c>
      <c r="J9" s="170">
        <f t="shared" si="0"/>
        <v>0.94736842105263153</v>
      </c>
    </row>
    <row r="10" spans="2:55" ht="48" customHeight="1" thickBot="1">
      <c r="B10" s="163"/>
      <c r="C10" s="163"/>
      <c r="D10" s="162"/>
      <c r="E10" s="166"/>
      <c r="G10" s="187" t="s">
        <v>242</v>
      </c>
      <c r="H10" s="160">
        <v>13</v>
      </c>
      <c r="I10" s="160">
        <f>SUM(F46:F48)</f>
        <v>12</v>
      </c>
      <c r="J10" s="171">
        <f>I10/H10</f>
        <v>0.92307692307692313</v>
      </c>
    </row>
    <row r="11" spans="2:55" ht="48" customHeight="1" thickBot="1">
      <c r="B11" s="210" t="s">
        <v>248</v>
      </c>
      <c r="C11" s="522" t="s">
        <v>251</v>
      </c>
      <c r="D11" s="523"/>
      <c r="E11" s="128"/>
      <c r="G11" s="168" t="s">
        <v>256</v>
      </c>
      <c r="H11" s="169">
        <v>5</v>
      </c>
      <c r="I11" s="169">
        <f>SUM(F49:F53)</f>
        <v>4</v>
      </c>
      <c r="J11" s="170">
        <f t="shared" ref="J11:J12" si="1">I11/H11</f>
        <v>0.8</v>
      </c>
    </row>
    <row r="12" spans="2:55" ht="72.75" customHeight="1" thickBot="1">
      <c r="B12" s="219" t="s">
        <v>244</v>
      </c>
      <c r="C12" s="524" t="s">
        <v>246</v>
      </c>
      <c r="D12" s="525"/>
      <c r="E12" s="166"/>
      <c r="G12" s="198" t="s">
        <v>271</v>
      </c>
      <c r="H12" s="199">
        <f>SUM(H6:H11)</f>
        <v>117</v>
      </c>
      <c r="I12" s="199">
        <f>SUM(I6:I11)</f>
        <v>105</v>
      </c>
      <c r="J12" s="200">
        <f t="shared" si="1"/>
        <v>0.89743589743589747</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0.89743589743589747</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K20" s="173"/>
      <c r="V20" s="122"/>
      <c r="AY20" s="172" t="str">
        <f t="shared" si="2"/>
        <v>Yes</v>
      </c>
      <c r="BA20" s="222"/>
      <c r="BB20" s="122"/>
      <c r="BC20" s="122"/>
    </row>
    <row r="21" spans="2:58" s="172" customFormat="1" ht="45.95" customHeight="1">
      <c r="B21" s="439"/>
      <c r="C21" s="214">
        <v>5</v>
      </c>
      <c r="D21" s="215" t="s">
        <v>213</v>
      </c>
      <c r="E21" s="496" t="s">
        <v>266</v>
      </c>
      <c r="F21" s="497"/>
      <c r="G21" s="493"/>
      <c r="H21" s="494"/>
      <c r="I21" s="494"/>
      <c r="J21" s="494"/>
      <c r="K21" s="495"/>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480"/>
      <c r="H25" s="481"/>
      <c r="I25" s="481"/>
      <c r="J25" s="481"/>
      <c r="K25" s="482"/>
    </row>
    <row r="26" spans="2:58" ht="75.75" customHeight="1">
      <c r="B26" s="439"/>
      <c r="C26" s="127">
        <v>2</v>
      </c>
      <c r="D26" s="192" t="s">
        <v>219</v>
      </c>
      <c r="E26" s="140" t="s">
        <v>266</v>
      </c>
      <c r="F26" s="135">
        <f>IF(E26="Yes",5,0)</f>
        <v>5</v>
      </c>
      <c r="G26" s="453"/>
      <c r="H26" s="454"/>
      <c r="I26" s="454"/>
      <c r="J26" s="454"/>
      <c r="K26" s="455"/>
    </row>
    <row r="27" spans="2:58" ht="60.75" customHeight="1">
      <c r="B27" s="439"/>
      <c r="C27" s="143">
        <v>3</v>
      </c>
      <c r="D27" s="193" t="s">
        <v>216</v>
      </c>
      <c r="E27" s="177" t="s">
        <v>266</v>
      </c>
      <c r="F27" s="178">
        <f>IF(E27="Yes",5,0)</f>
        <v>5</v>
      </c>
      <c r="G27" s="444"/>
      <c r="H27" s="445"/>
      <c r="I27" s="445"/>
      <c r="J27" s="445"/>
      <c r="K27" s="446"/>
    </row>
    <row r="28" spans="2:58" ht="51.75" customHeight="1">
      <c r="B28" s="439"/>
      <c r="C28" s="127">
        <v>4</v>
      </c>
      <c r="D28" s="192" t="s">
        <v>217</v>
      </c>
      <c r="E28" s="140" t="s">
        <v>193</v>
      </c>
      <c r="F28" s="135">
        <f t="shared" ref="F28:F32" si="3">IF(E28="Yes",1,0)</f>
        <v>0</v>
      </c>
      <c r="G28" s="453" t="s">
        <v>464</v>
      </c>
      <c r="H28" s="454"/>
      <c r="I28" s="454"/>
      <c r="J28" s="454"/>
      <c r="K28" s="455"/>
    </row>
    <row r="29" spans="2:58" ht="50.25" customHeight="1">
      <c r="B29" s="439"/>
      <c r="C29" s="151">
        <v>5</v>
      </c>
      <c r="D29" s="193" t="s">
        <v>218</v>
      </c>
      <c r="E29" s="177" t="s">
        <v>266</v>
      </c>
      <c r="F29" s="178">
        <f t="shared" si="3"/>
        <v>1</v>
      </c>
      <c r="G29" s="465"/>
      <c r="H29" s="466"/>
      <c r="I29" s="466"/>
      <c r="J29" s="466"/>
      <c r="K29" s="467"/>
    </row>
    <row r="30" spans="2:58" ht="47.25" customHeight="1">
      <c r="B30" s="439"/>
      <c r="C30" s="131">
        <v>6</v>
      </c>
      <c r="D30" s="192" t="s">
        <v>220</v>
      </c>
      <c r="E30" s="140" t="s">
        <v>193</v>
      </c>
      <c r="F30" s="135">
        <f>IF(E30="Yes",7,0)</f>
        <v>0</v>
      </c>
      <c r="G30" s="453" t="s">
        <v>467</v>
      </c>
      <c r="H30" s="454"/>
      <c r="I30" s="454"/>
      <c r="J30" s="454"/>
      <c r="K30" s="455"/>
    </row>
    <row r="31" spans="2:58" ht="48.75" customHeight="1" thickBot="1">
      <c r="B31" s="440"/>
      <c r="C31" s="158">
        <v>7</v>
      </c>
      <c r="D31" s="194" t="s">
        <v>221</v>
      </c>
      <c r="E31" s="179" t="s">
        <v>266</v>
      </c>
      <c r="F31" s="180">
        <f>IF(E31="Yes",7,0)</f>
        <v>7</v>
      </c>
      <c r="G31" s="155"/>
      <c r="H31" s="156"/>
      <c r="I31" s="156"/>
      <c r="J31" s="156"/>
      <c r="K31" s="157"/>
    </row>
    <row r="32" spans="2:58" ht="62.25" customHeight="1">
      <c r="B32" s="438" t="s">
        <v>257</v>
      </c>
      <c r="C32" s="227">
        <v>1</v>
      </c>
      <c r="D32" s="206" t="s">
        <v>222</v>
      </c>
      <c r="E32" s="181" t="s">
        <v>193</v>
      </c>
      <c r="F32" s="182">
        <f t="shared" si="3"/>
        <v>0</v>
      </c>
      <c r="G32" s="456" t="s">
        <v>463</v>
      </c>
      <c r="H32" s="457"/>
      <c r="I32" s="457"/>
      <c r="J32" s="457"/>
      <c r="K32" s="458"/>
    </row>
    <row r="33" spans="2:11" ht="45.95" customHeight="1">
      <c r="B33" s="439"/>
      <c r="C33" s="143">
        <v>2</v>
      </c>
      <c r="D33" s="203" t="s">
        <v>223</v>
      </c>
      <c r="E33" s="177" t="s">
        <v>266</v>
      </c>
      <c r="F33" s="178">
        <f>IF(E33="Yes",5,0)</f>
        <v>5</v>
      </c>
      <c r="G33" s="444"/>
      <c r="H33" s="445"/>
      <c r="I33" s="445"/>
      <c r="J33" s="445"/>
      <c r="K33" s="446"/>
    </row>
    <row r="34" spans="2:11" ht="45.95" customHeight="1">
      <c r="B34" s="439"/>
      <c r="C34" s="131">
        <v>3</v>
      </c>
      <c r="D34" s="202" t="s">
        <v>224</v>
      </c>
      <c r="E34" s="140" t="s">
        <v>266</v>
      </c>
      <c r="F34" s="135">
        <f>IF(E34="Yes",5,0)</f>
        <v>5</v>
      </c>
      <c r="G34" s="453"/>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195"/>
      <c r="H37" s="196"/>
      <c r="I37" s="196"/>
      <c r="J37" s="196"/>
      <c r="K37" s="197"/>
    </row>
    <row r="38" spans="2:11" ht="50.25" customHeight="1">
      <c r="B38" s="439"/>
      <c r="C38" s="127">
        <v>3</v>
      </c>
      <c r="D38" s="202" t="s">
        <v>228</v>
      </c>
      <c r="E38" s="140" t="s">
        <v>315</v>
      </c>
      <c r="F38" s="135">
        <f>IF(OR(E38="Yes",E38="NA"),7,0)</f>
        <v>7</v>
      </c>
      <c r="G38" s="474"/>
      <c r="H38" s="475"/>
      <c r="I38" s="475"/>
      <c r="J38" s="475"/>
      <c r="K38" s="476"/>
    </row>
    <row r="39" spans="2:11" ht="68.25" customHeight="1">
      <c r="B39" s="439"/>
      <c r="C39" s="174">
        <v>4</v>
      </c>
      <c r="D39" s="203" t="s">
        <v>273</v>
      </c>
      <c r="E39" s="177" t="s">
        <v>266</v>
      </c>
      <c r="F39" s="178">
        <f>IF(OR(E39="Yes",E39="NA"),7,0)</f>
        <v>7</v>
      </c>
      <c r="G39" s="195"/>
      <c r="H39" s="196"/>
      <c r="I39" s="196"/>
      <c r="J39" s="196"/>
      <c r="K39" s="19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462"/>
      <c r="H41" s="463"/>
      <c r="I41" s="463"/>
      <c r="J41" s="463"/>
      <c r="K41" s="464"/>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71.25" customHeight="1">
      <c r="B44" s="439"/>
      <c r="C44" s="127">
        <v>4</v>
      </c>
      <c r="D44" s="202" t="s">
        <v>235</v>
      </c>
      <c r="E44" s="140" t="s">
        <v>193</v>
      </c>
      <c r="F44" s="135">
        <f>IF(E44="Yes",1,0)</f>
        <v>0</v>
      </c>
      <c r="G44" s="453" t="s">
        <v>465</v>
      </c>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72.75" customHeight="1" thickBot="1">
      <c r="B48" s="440"/>
      <c r="C48" s="132">
        <v>3</v>
      </c>
      <c r="D48" s="205" t="s">
        <v>231</v>
      </c>
      <c r="E48" s="142" t="s">
        <v>193</v>
      </c>
      <c r="F48" s="137">
        <f>IF(E48="Yes",1,0)</f>
        <v>0</v>
      </c>
      <c r="G48" s="447" t="s">
        <v>468</v>
      </c>
      <c r="H48" s="448"/>
      <c r="I48" s="448"/>
      <c r="J48" s="448"/>
      <c r="K48" s="449"/>
    </row>
    <row r="49" spans="2:11" ht="76.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315</v>
      </c>
      <c r="F50" s="135">
        <f>IF(OR(E50="Yes",E50="NA"),1,0)</f>
        <v>1</v>
      </c>
      <c r="G50" s="453"/>
      <c r="H50" s="454"/>
      <c r="I50" s="454"/>
      <c r="J50" s="454"/>
      <c r="K50" s="455"/>
    </row>
    <row r="51" spans="2:11" ht="66" customHeight="1">
      <c r="B51" s="439"/>
      <c r="C51" s="143">
        <v>3</v>
      </c>
      <c r="D51" s="203" t="s">
        <v>233</v>
      </c>
      <c r="E51" s="177" t="s">
        <v>266</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193</v>
      </c>
      <c r="F53" s="190">
        <f>IF(E53="Yes",1,0)</f>
        <v>0</v>
      </c>
      <c r="G53" s="444" t="s">
        <v>466</v>
      </c>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5">
    <mergeCell ref="I14:J14"/>
    <mergeCell ref="B1:D2"/>
    <mergeCell ref="C3:D3"/>
    <mergeCell ref="C4:D4"/>
    <mergeCell ref="H4:J4"/>
    <mergeCell ref="C5:D5"/>
    <mergeCell ref="B7:B9"/>
    <mergeCell ref="C7:D7"/>
    <mergeCell ref="C8:D9"/>
    <mergeCell ref="C11:D11"/>
    <mergeCell ref="C12:D12"/>
    <mergeCell ref="C13:D13"/>
    <mergeCell ref="C14:D14"/>
    <mergeCell ref="G14:H14"/>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G23:K23"/>
    <mergeCell ref="B36:B40"/>
    <mergeCell ref="G36:K36"/>
    <mergeCell ref="G38:K38"/>
    <mergeCell ref="G40:K40"/>
    <mergeCell ref="B24:D24"/>
    <mergeCell ref="G24:K24"/>
    <mergeCell ref="B25:B31"/>
    <mergeCell ref="G25:K25"/>
    <mergeCell ref="G26:K26"/>
    <mergeCell ref="G27:K27"/>
    <mergeCell ref="G28:K28"/>
    <mergeCell ref="G30:K30"/>
    <mergeCell ref="G29:K29"/>
    <mergeCell ref="B41:B45"/>
    <mergeCell ref="G42:K42"/>
    <mergeCell ref="G43:K43"/>
    <mergeCell ref="B32:B35"/>
    <mergeCell ref="G32:K32"/>
    <mergeCell ref="G33:K33"/>
    <mergeCell ref="G34:K34"/>
    <mergeCell ref="G35:K35"/>
    <mergeCell ref="G44:K44"/>
    <mergeCell ref="G45:K45"/>
    <mergeCell ref="G41:K41"/>
    <mergeCell ref="B46:B48"/>
    <mergeCell ref="G46:K46"/>
    <mergeCell ref="G47:K47"/>
    <mergeCell ref="G48:K48"/>
    <mergeCell ref="B49:B53"/>
    <mergeCell ref="G49:K49"/>
    <mergeCell ref="G50:K50"/>
    <mergeCell ref="G51:K51"/>
    <mergeCell ref="G52:K52"/>
    <mergeCell ref="G53:K53"/>
  </mergeCells>
  <conditionalFormatting sqref="E17:E23">
    <cfRule type="notContainsText" dxfId="191" priority="9" operator="notContains" text="YES">
      <formula>ISERROR(SEARCH("YES",E17))</formula>
    </cfRule>
  </conditionalFormatting>
  <conditionalFormatting sqref="E43:E53">
    <cfRule type="containsText" dxfId="190" priority="7" operator="containsText" text="No">
      <formula>NOT(ISERROR(SEARCH("No",E43)))</formula>
    </cfRule>
  </conditionalFormatting>
  <conditionalFormatting sqref="E25:F42">
    <cfRule type="containsText" dxfId="189" priority="8" operator="containsText" text="No">
      <formula>NOT(ISERROR(SEARCH("No",E25)))</formula>
    </cfRule>
  </conditionalFormatting>
  <conditionalFormatting sqref="H4:J4">
    <cfRule type="cellIs" dxfId="188" priority="1" operator="equal">
      <formula>"NO PASA"</formula>
    </cfRule>
    <cfRule type="cellIs" dxfId="187" priority="2" operator="equal">
      <formula>"NO PASA"</formula>
    </cfRule>
    <cfRule type="cellIs" dxfId="186" priority="3" operator="equal">
      <formula>"PASA"</formula>
    </cfRule>
    <cfRule type="cellIs" dxfId="185" priority="4" operator="equal">
      <formula>"PASA"</formula>
    </cfRule>
    <cfRule type="cellIs" dxfId="184" priority="5" operator="equal">
      <formula>"NO PASA"</formula>
    </cfRule>
    <cfRule type="containsText" dxfId="183" priority="6" operator="containsText" text="PASA">
      <formula>NOT(ISERROR(SEARCH("PASA",H4)))</formula>
    </cfRule>
    <cfRule type="cellIs" dxfId="182" priority="13" operator="equal">
      <formula>$BC$7</formula>
    </cfRule>
    <cfRule type="cellIs" dxfId="181" priority="14" operator="equal">
      <formula>$BC$6</formula>
    </cfRule>
    <cfRule type="cellIs" dxfId="180" priority="15" operator="equal">
      <formula>$BC$4</formula>
    </cfRule>
  </conditionalFormatting>
  <conditionalFormatting sqref="I14">
    <cfRule type="cellIs" dxfId="179" priority="10" operator="greaterThanOrEqual">
      <formula>0.9</formula>
    </cfRule>
    <cfRule type="cellIs" dxfId="178" priority="11" operator="between">
      <formula>0.71</formula>
      <formula>0.9</formula>
    </cfRule>
    <cfRule type="cellIs" dxfId="177" priority="12" operator="lessThan">
      <formula>0.71</formula>
    </cfRule>
  </conditionalFormatting>
  <dataValidations count="3">
    <dataValidation type="list" allowBlank="1" showInputMessage="1" showErrorMessage="1" sqref="E38:E39 E50:E51" xr:uid="{00000000-0002-0000-0E00-000000000000}">
      <formula1>"Yes,No,NA"</formula1>
    </dataValidation>
    <dataValidation type="list" allowBlank="1" showInputMessage="1" showErrorMessage="1" sqref="E52:E53 E25:E37 E40:E49" xr:uid="{00000000-0002-0000-0E00-000001000000}">
      <formula1>"Yes,No"</formula1>
    </dataValidation>
    <dataValidation type="list" allowBlank="1" showInputMessage="1" showErrorMessage="1" sqref="E17:E23" xr:uid="{00000000-0002-0000-0E00-000002000000}">
      <formula1>"Yes,No,Cured in Moment"</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BB4033"/>
  </sheetPr>
  <dimension ref="B1:H103"/>
  <sheetViews>
    <sheetView zoomScale="50" zoomScaleNormal="50" workbookViewId="0">
      <selection activeCell="D11" sqref="D11"/>
    </sheetView>
  </sheetViews>
  <sheetFormatPr baseColWidth="10" defaultColWidth="8.85546875" defaultRowHeight="18"/>
  <cols>
    <col min="1" max="1" width="4.42578125" style="124" customWidth="1"/>
    <col min="2" max="2" width="47" style="122"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86.25" customHeight="1">
      <c r="B7" s="299" t="s">
        <v>469</v>
      </c>
      <c r="C7" s="130" t="s">
        <v>381</v>
      </c>
      <c r="D7" s="284">
        <v>46295</v>
      </c>
      <c r="E7" s="130"/>
      <c r="F7" s="134"/>
    </row>
    <row r="8" spans="2:8" ht="112.5" customHeight="1">
      <c r="B8" s="295" t="s">
        <v>470</v>
      </c>
      <c r="C8" s="130" t="s">
        <v>381</v>
      </c>
      <c r="D8" s="284">
        <v>46295</v>
      </c>
      <c r="E8" s="127"/>
      <c r="F8" s="135"/>
    </row>
    <row r="9" spans="2:8" ht="84.75" customHeight="1">
      <c r="B9" s="297" t="s">
        <v>471</v>
      </c>
      <c r="C9" s="130" t="s">
        <v>381</v>
      </c>
      <c r="D9" s="284">
        <v>46295</v>
      </c>
      <c r="E9" s="131"/>
      <c r="F9" s="136"/>
    </row>
    <row r="10" spans="2:8" ht="77.25" customHeight="1">
      <c r="B10" s="297" t="s">
        <v>472</v>
      </c>
      <c r="C10" s="130" t="s">
        <v>381</v>
      </c>
      <c r="D10" s="284">
        <v>46295</v>
      </c>
      <c r="E10" s="131"/>
      <c r="F10" s="136"/>
    </row>
    <row r="11" spans="2:8" ht="65.25" customHeight="1">
      <c r="B11" s="297" t="s">
        <v>473</v>
      </c>
      <c r="C11" s="130" t="s">
        <v>381</v>
      </c>
      <c r="D11" s="284">
        <v>46295</v>
      </c>
      <c r="E11" s="131"/>
      <c r="F11" s="136"/>
    </row>
    <row r="12" spans="2:8" ht="44.1" customHeight="1">
      <c r="B12" s="297"/>
      <c r="C12" s="127"/>
      <c r="D12" s="127"/>
      <c r="E12" s="131"/>
      <c r="F12" s="136"/>
    </row>
    <row r="13" spans="2:8" s="126" customFormat="1" ht="30.95" customHeight="1">
      <c r="B13" s="297"/>
      <c r="C13" s="127"/>
      <c r="D13" s="127"/>
      <c r="E13" s="131"/>
      <c r="F13" s="136"/>
    </row>
    <row r="14" spans="2:8" ht="39.950000000000003" customHeight="1">
      <c r="B14" s="299"/>
      <c r="C14" s="127"/>
      <c r="D14" s="127"/>
      <c r="E14" s="131"/>
      <c r="F14" s="136"/>
    </row>
    <row r="15" spans="2:8" ht="39.950000000000003" customHeight="1">
      <c r="B15" s="299"/>
      <c r="C15" s="127"/>
      <c r="D15" s="127"/>
      <c r="E15" s="131"/>
      <c r="F15" s="136"/>
    </row>
    <row r="16" spans="2:8" ht="39.950000000000003" customHeight="1" thickBot="1">
      <c r="B16" s="299"/>
      <c r="C16" s="127"/>
      <c r="D16" s="127"/>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268</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2:E2"/>
    <mergeCell ref="B3:F3"/>
    <mergeCell ref="B4:F4"/>
    <mergeCell ref="B5:B6"/>
    <mergeCell ref="C5:C6"/>
    <mergeCell ref="D5:D6"/>
    <mergeCell ref="E5:E6"/>
    <mergeCell ref="F5:F6"/>
    <mergeCell ref="B18:F18"/>
    <mergeCell ref="B19:F19"/>
    <mergeCell ref="B20:B21"/>
    <mergeCell ref="C20:C21"/>
    <mergeCell ref="D20:D21"/>
    <mergeCell ref="E20:E21"/>
    <mergeCell ref="F20:F21"/>
    <mergeCell ref="B32:F32"/>
    <mergeCell ref="B33:F33"/>
    <mergeCell ref="B34:B35"/>
    <mergeCell ref="C34:C35"/>
    <mergeCell ref="D34:D35"/>
    <mergeCell ref="E34:E35"/>
    <mergeCell ref="F34:F35"/>
  </mergeCells>
  <conditionalFormatting sqref="F31">
    <cfRule type="expression" dxfId="176" priority="1" stopIfTrue="1">
      <formula>IF($E31="NA",TRUE,FALSE)</formula>
    </cfRule>
  </conditionalFormatting>
  <dataValidations count="3">
    <dataValidation type="list" allowBlank="1" showInputMessage="1" showErrorMessage="1" sqref="E31" xr:uid="{00000000-0002-0000-0F00-000000000000}">
      <formula1>"Yes,No,NA"</formula1>
    </dataValidation>
    <dataValidation type="list" allowBlank="1" showInputMessage="1" showErrorMessage="1" sqref="E17" xr:uid="{00000000-0002-0000-0F00-000001000000}">
      <formula1>"Yes,No"</formula1>
    </dataValidation>
    <dataValidation type="list" allowBlank="1" showInputMessage="1" showErrorMessage="1" sqref="E5:E6 E20:E21 E34:E35" xr:uid="{00000000-0002-0000-0F00-000002000000}">
      <formula1>"Yes,No,Cured in Moment"</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B1:BF56"/>
  <sheetViews>
    <sheetView zoomScale="60" zoomScaleNormal="60" workbookViewId="0">
      <selection activeCell="C3" sqref="C3:D3"/>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19.140625" style="124"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49.5" customHeight="1" thickBot="1">
      <c r="B3" s="210" t="s">
        <v>208</v>
      </c>
      <c r="C3" s="507" t="s">
        <v>326</v>
      </c>
      <c r="D3" s="508"/>
      <c r="E3" s="161"/>
      <c r="G3" s="220"/>
      <c r="H3" s="220"/>
      <c r="I3" s="220"/>
      <c r="J3" s="220"/>
    </row>
    <row r="4" spans="2:55" ht="84" customHeight="1" thickBot="1">
      <c r="B4" s="211" t="s">
        <v>275</v>
      </c>
      <c r="C4" s="509" t="s">
        <v>452</v>
      </c>
      <c r="D4" s="510"/>
      <c r="E4" s="150"/>
      <c r="G4" s="186" t="s">
        <v>11</v>
      </c>
      <c r="H4" s="511" t="str">
        <f>IF(COUNTIF(BB6,"0")&gt;0,"PASA","NO PASA")</f>
        <v>PASA</v>
      </c>
      <c r="I4" s="512"/>
      <c r="J4" s="513"/>
      <c r="BA4" s="221" t="s">
        <v>174</v>
      </c>
      <c r="BB4" s="123">
        <f>COUNTIF(E17:F23,BA4)</f>
        <v>0</v>
      </c>
      <c r="BC4" s="225" t="s">
        <v>262</v>
      </c>
    </row>
    <row r="5" spans="2:55" ht="38.25" customHeight="1" thickBot="1">
      <c r="B5" s="236" t="s">
        <v>203</v>
      </c>
      <c r="C5" s="514">
        <v>46273</v>
      </c>
      <c r="D5" s="515"/>
      <c r="G5" s="228" t="s">
        <v>198</v>
      </c>
      <c r="H5" s="185" t="s">
        <v>3</v>
      </c>
      <c r="I5" s="229" t="s">
        <v>4</v>
      </c>
      <c r="J5" s="230" t="s">
        <v>5</v>
      </c>
      <c r="BC5" s="225"/>
    </row>
    <row r="6" spans="2:55" ht="48" customHeight="1" thickBot="1">
      <c r="C6" s="122"/>
      <c r="E6" s="128"/>
      <c r="G6" s="187" t="s">
        <v>254</v>
      </c>
      <c r="H6" s="160">
        <v>31</v>
      </c>
      <c r="I6" s="160">
        <f>SUM(F25:F31)</f>
        <v>23</v>
      </c>
      <c r="J6" s="167">
        <f t="shared" ref="J6:J9" si="0">I6/H6</f>
        <v>0.74193548387096775</v>
      </c>
      <c r="BA6" s="221" t="s">
        <v>193</v>
      </c>
      <c r="BB6" s="123">
        <f>COUNTIF(E17:F23,BA6)</f>
        <v>0</v>
      </c>
      <c r="BC6" s="225" t="s">
        <v>263</v>
      </c>
    </row>
    <row r="7" spans="2:55" ht="48" customHeight="1" thickBot="1">
      <c r="B7" s="438" t="s">
        <v>243</v>
      </c>
      <c r="C7" s="516" t="s">
        <v>252</v>
      </c>
      <c r="D7" s="517"/>
      <c r="E7" s="164"/>
      <c r="G7" s="168" t="s">
        <v>199</v>
      </c>
      <c r="H7" s="169">
        <v>18</v>
      </c>
      <c r="I7" s="169">
        <f>SUM(F32:F35)</f>
        <v>13</v>
      </c>
      <c r="J7" s="170">
        <f t="shared" si="0"/>
        <v>0.72222222222222221</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18</v>
      </c>
      <c r="J9" s="170">
        <f t="shared" si="0"/>
        <v>0.94736842105263153</v>
      </c>
    </row>
    <row r="10" spans="2:55" ht="48" customHeight="1" thickBot="1">
      <c r="B10" s="163"/>
      <c r="C10" s="163"/>
      <c r="D10" s="162"/>
      <c r="E10" s="166"/>
      <c r="G10" s="187" t="s">
        <v>242</v>
      </c>
      <c r="H10" s="160">
        <v>13</v>
      </c>
      <c r="I10" s="160">
        <f>SUM(F46:F48)</f>
        <v>12</v>
      </c>
      <c r="J10" s="171">
        <f>I10/H10</f>
        <v>0.92307692307692313</v>
      </c>
    </row>
    <row r="11" spans="2:55" ht="48" customHeight="1" thickBot="1">
      <c r="B11" s="210" t="s">
        <v>248</v>
      </c>
      <c r="C11" s="522" t="s">
        <v>251</v>
      </c>
      <c r="D11" s="523"/>
      <c r="E11" s="128"/>
      <c r="G11" s="168" t="s">
        <v>256</v>
      </c>
      <c r="H11" s="169">
        <v>5</v>
      </c>
      <c r="I11" s="169">
        <f>SUM(F49:F53)</f>
        <v>4</v>
      </c>
      <c r="J11" s="170">
        <f t="shared" ref="J11:J12" si="1">I11/H11</f>
        <v>0.8</v>
      </c>
    </row>
    <row r="12" spans="2:55" ht="72.75" customHeight="1" thickBot="1">
      <c r="B12" s="219" t="s">
        <v>244</v>
      </c>
      <c r="C12" s="524" t="s">
        <v>246</v>
      </c>
      <c r="D12" s="525"/>
      <c r="E12" s="166"/>
      <c r="G12" s="198" t="s">
        <v>271</v>
      </c>
      <c r="H12" s="199">
        <f>SUM(H6:H11)</f>
        <v>117</v>
      </c>
      <c r="I12" s="199">
        <f>SUM(I6:I11)</f>
        <v>101</v>
      </c>
      <c r="J12" s="200">
        <f t="shared" si="1"/>
        <v>0.86324786324786329</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0.86324786324786329</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G20" s="474"/>
      <c r="H20" s="475"/>
      <c r="I20" s="475"/>
      <c r="J20" s="475"/>
      <c r="K20" s="476"/>
      <c r="V20" s="122"/>
      <c r="AY20" s="172" t="str">
        <f t="shared" si="2"/>
        <v>Yes</v>
      </c>
      <c r="BA20" s="222"/>
      <c r="BB20" s="122"/>
      <c r="BC20" s="122"/>
    </row>
    <row r="21" spans="2:58" s="172" customFormat="1" ht="45.95" customHeight="1">
      <c r="B21" s="439"/>
      <c r="C21" s="214">
        <v>5</v>
      </c>
      <c r="D21" s="215" t="s">
        <v>213</v>
      </c>
      <c r="E21" s="496" t="s">
        <v>266</v>
      </c>
      <c r="F21" s="497"/>
      <c r="G21" s="493"/>
      <c r="H21" s="494"/>
      <c r="I21" s="494"/>
      <c r="J21" s="494"/>
      <c r="K21" s="495"/>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73.5" customHeight="1">
      <c r="B25" s="439" t="s">
        <v>254</v>
      </c>
      <c r="C25" s="174">
        <v>1</v>
      </c>
      <c r="D25" s="191" t="s">
        <v>259</v>
      </c>
      <c r="E25" s="175" t="s">
        <v>266</v>
      </c>
      <c r="F25" s="176">
        <f>IF(E25="Yes",5,0)</f>
        <v>5</v>
      </c>
      <c r="G25" s="450"/>
      <c r="H25" s="451"/>
      <c r="I25" s="451"/>
      <c r="J25" s="451"/>
      <c r="K25" s="452"/>
    </row>
    <row r="26" spans="2:58" ht="96" customHeight="1">
      <c r="B26" s="439"/>
      <c r="C26" s="127">
        <v>2</v>
      </c>
      <c r="D26" s="192" t="s">
        <v>219</v>
      </c>
      <c r="E26" s="140" t="s">
        <v>266</v>
      </c>
      <c r="F26" s="135">
        <f>IF(E26="Yes",5,0)</f>
        <v>5</v>
      </c>
      <c r="G26" s="453"/>
      <c r="H26" s="454"/>
      <c r="I26" s="454"/>
      <c r="J26" s="454"/>
      <c r="K26" s="455"/>
    </row>
    <row r="27" spans="2:58" ht="45.95" customHeight="1">
      <c r="B27" s="439"/>
      <c r="C27" s="143">
        <v>3</v>
      </c>
      <c r="D27" s="193" t="s">
        <v>216</v>
      </c>
      <c r="E27" s="177" t="s">
        <v>266</v>
      </c>
      <c r="F27" s="178">
        <f>IF(E27="Yes",5,0)</f>
        <v>5</v>
      </c>
      <c r="G27" s="444"/>
      <c r="H27" s="445"/>
      <c r="I27" s="445"/>
      <c r="J27" s="445"/>
      <c r="K27" s="446"/>
    </row>
    <row r="28" spans="2:58" ht="51.75" customHeight="1">
      <c r="B28" s="439"/>
      <c r="C28" s="127">
        <v>4</v>
      </c>
      <c r="D28" s="192" t="s">
        <v>217</v>
      </c>
      <c r="E28" s="140" t="s">
        <v>193</v>
      </c>
      <c r="F28" s="135">
        <f t="shared" ref="F28:F32" si="3">IF(E28="Yes",1,0)</f>
        <v>0</v>
      </c>
      <c r="G28" s="453" t="s">
        <v>457</v>
      </c>
      <c r="H28" s="454"/>
      <c r="I28" s="454"/>
      <c r="J28" s="454"/>
      <c r="K28" s="455"/>
    </row>
    <row r="29" spans="2:58" ht="59.25" customHeight="1">
      <c r="B29" s="439"/>
      <c r="C29" s="151">
        <v>5</v>
      </c>
      <c r="D29" s="193" t="s">
        <v>218</v>
      </c>
      <c r="E29" s="177" t="s">
        <v>266</v>
      </c>
      <c r="F29" s="178">
        <f t="shared" si="3"/>
        <v>1</v>
      </c>
      <c r="G29" s="474"/>
      <c r="H29" s="475"/>
      <c r="I29" s="475"/>
      <c r="J29" s="475"/>
      <c r="K29" s="476"/>
    </row>
    <row r="30" spans="2:58" ht="47.25" customHeight="1">
      <c r="B30" s="439"/>
      <c r="C30" s="131">
        <v>6</v>
      </c>
      <c r="D30" s="192" t="s">
        <v>220</v>
      </c>
      <c r="E30" s="140" t="s">
        <v>266</v>
      </c>
      <c r="F30" s="135">
        <f>IF(E30="Yes",7,0)</f>
        <v>7</v>
      </c>
    </row>
    <row r="31" spans="2:58" ht="48.75" customHeight="1" thickBot="1">
      <c r="B31" s="440"/>
      <c r="C31" s="158">
        <v>7</v>
      </c>
      <c r="D31" s="194" t="s">
        <v>221</v>
      </c>
      <c r="E31" s="179" t="s">
        <v>193</v>
      </c>
      <c r="F31" s="180">
        <f>IF(E31="Yes",7,0)</f>
        <v>0</v>
      </c>
      <c r="G31" s="543" t="s">
        <v>454</v>
      </c>
      <c r="H31" s="544"/>
      <c r="I31" s="544"/>
      <c r="J31" s="544"/>
      <c r="K31" s="545"/>
    </row>
    <row r="32" spans="2:58" ht="48.75" customHeight="1">
      <c r="B32" s="438" t="s">
        <v>257</v>
      </c>
      <c r="C32" s="227">
        <v>1</v>
      </c>
      <c r="D32" s="206" t="s">
        <v>222</v>
      </c>
      <c r="E32" s="181" t="s">
        <v>266</v>
      </c>
      <c r="F32" s="182">
        <f t="shared" si="3"/>
        <v>1</v>
      </c>
      <c r="G32" s="456"/>
      <c r="H32" s="457"/>
      <c r="I32" s="457"/>
      <c r="J32" s="457"/>
      <c r="K32" s="458"/>
    </row>
    <row r="33" spans="2:11" ht="45.95" customHeight="1">
      <c r="B33" s="439"/>
      <c r="C33" s="143">
        <v>2</v>
      </c>
      <c r="D33" s="203" t="s">
        <v>223</v>
      </c>
      <c r="E33" s="177" t="s">
        <v>266</v>
      </c>
      <c r="F33" s="178">
        <f>IF(E33="Yes",5,0)</f>
        <v>5</v>
      </c>
      <c r="G33" s="444"/>
      <c r="H33" s="445"/>
      <c r="I33" s="445"/>
      <c r="J33" s="445"/>
      <c r="K33" s="446"/>
    </row>
    <row r="34" spans="2:11" ht="45.95" customHeight="1">
      <c r="B34" s="439"/>
      <c r="C34" s="131">
        <v>3</v>
      </c>
      <c r="D34" s="202" t="s">
        <v>224</v>
      </c>
      <c r="E34" s="140" t="s">
        <v>193</v>
      </c>
      <c r="F34" s="135">
        <f>IF(E34="Yes",5,0)</f>
        <v>0</v>
      </c>
      <c r="G34" s="453" t="s">
        <v>373</v>
      </c>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465"/>
      <c r="H37" s="466"/>
      <c r="I37" s="466"/>
      <c r="J37" s="466"/>
      <c r="K37" s="467"/>
    </row>
    <row r="38" spans="2:11" ht="50.25"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315</v>
      </c>
      <c r="F39" s="178">
        <f>IF(OR(E39="Yes",E39="NA"),7,0)</f>
        <v>7</v>
      </c>
      <c r="G39" s="195"/>
      <c r="H39" s="196"/>
      <c r="I39" s="196"/>
      <c r="J39" s="196"/>
      <c r="K39" s="19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462"/>
      <c r="H41" s="463"/>
      <c r="I41" s="463"/>
      <c r="J41" s="463"/>
      <c r="K41" s="464"/>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193</v>
      </c>
      <c r="F44" s="135">
        <f>IF(E44="Yes",1,0)</f>
        <v>0</v>
      </c>
      <c r="G44" s="453" t="s">
        <v>453</v>
      </c>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thickBot="1">
      <c r="B47" s="439"/>
      <c r="C47" s="143">
        <v>2</v>
      </c>
      <c r="D47" s="193" t="s">
        <v>239</v>
      </c>
      <c r="E47" s="177" t="s">
        <v>266</v>
      </c>
      <c r="F47" s="178">
        <f>IF(E47="Yes",5,0)</f>
        <v>5</v>
      </c>
      <c r="G47" s="447"/>
      <c r="H47" s="448"/>
      <c r="I47" s="448"/>
      <c r="J47" s="448"/>
      <c r="K47" s="449"/>
    </row>
    <row r="48" spans="2:11" ht="45.95" customHeight="1" thickBot="1">
      <c r="B48" s="440"/>
      <c r="C48" s="132">
        <v>3</v>
      </c>
      <c r="D48" s="205" t="s">
        <v>231</v>
      </c>
      <c r="E48" s="142" t="s">
        <v>193</v>
      </c>
      <c r="F48" s="137">
        <f>IF(E48="Yes",1,0)</f>
        <v>0</v>
      </c>
      <c r="G48" s="447" t="s">
        <v>455</v>
      </c>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266</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57" customHeight="1">
      <c r="B53" s="439"/>
      <c r="C53" s="151">
        <v>5</v>
      </c>
      <c r="D53" s="204" t="s">
        <v>234</v>
      </c>
      <c r="E53" s="189" t="s">
        <v>193</v>
      </c>
      <c r="F53" s="190">
        <f>IF(E53="Yes",1,0)</f>
        <v>0</v>
      </c>
      <c r="G53" s="586" t="s">
        <v>456</v>
      </c>
      <c r="H53" s="587"/>
      <c r="I53" s="587"/>
      <c r="J53" s="587"/>
      <c r="K53" s="588"/>
    </row>
    <row r="54" spans="2:11" ht="31.5" customHeight="1">
      <c r="B54" s="231"/>
      <c r="C54" s="232"/>
      <c r="D54" s="233"/>
      <c r="E54" s="234"/>
      <c r="F54" s="234"/>
      <c r="G54" s="235"/>
      <c r="H54" s="235"/>
      <c r="I54" s="235"/>
      <c r="J54" s="235"/>
      <c r="K54" s="235"/>
    </row>
    <row r="55" spans="2:11" ht="31.5" customHeight="1"/>
    <row r="56" spans="2:11" ht="31.5" customHeight="1"/>
  </sheetData>
  <mergeCells count="67">
    <mergeCell ref="G20:K20"/>
    <mergeCell ref="G29:K29"/>
    <mergeCell ref="I14:J14"/>
    <mergeCell ref="B1:D2"/>
    <mergeCell ref="C3:D3"/>
    <mergeCell ref="C4:D4"/>
    <mergeCell ref="H4:J4"/>
    <mergeCell ref="C5:D5"/>
    <mergeCell ref="B7:B9"/>
    <mergeCell ref="C7:D7"/>
    <mergeCell ref="C8:D9"/>
    <mergeCell ref="C11:D11"/>
    <mergeCell ref="C12:D12"/>
    <mergeCell ref="C13:D13"/>
    <mergeCell ref="C14:D14"/>
    <mergeCell ref="G14:H14"/>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G23:K23"/>
    <mergeCell ref="B36:B40"/>
    <mergeCell ref="G36:K36"/>
    <mergeCell ref="G38:K38"/>
    <mergeCell ref="G40:K40"/>
    <mergeCell ref="B24:D24"/>
    <mergeCell ref="G24:K24"/>
    <mergeCell ref="B25:B31"/>
    <mergeCell ref="G25:K25"/>
    <mergeCell ref="G26:K26"/>
    <mergeCell ref="G27:K27"/>
    <mergeCell ref="G28:K28"/>
    <mergeCell ref="G31:K31"/>
    <mergeCell ref="B41:B45"/>
    <mergeCell ref="G42:K42"/>
    <mergeCell ref="G43:K43"/>
    <mergeCell ref="B32:B35"/>
    <mergeCell ref="G32:K32"/>
    <mergeCell ref="G33:K33"/>
    <mergeCell ref="G34:K34"/>
    <mergeCell ref="G35:K35"/>
    <mergeCell ref="G44:K44"/>
    <mergeCell ref="G45:K45"/>
    <mergeCell ref="G41:K41"/>
    <mergeCell ref="G37:K37"/>
    <mergeCell ref="B46:B48"/>
    <mergeCell ref="G46:K46"/>
    <mergeCell ref="G47:K47"/>
    <mergeCell ref="G48:K48"/>
    <mergeCell ref="B49:B53"/>
    <mergeCell ref="G49:K49"/>
    <mergeCell ref="G50:K50"/>
    <mergeCell ref="G51:K51"/>
    <mergeCell ref="G52:K52"/>
    <mergeCell ref="G53:K53"/>
  </mergeCells>
  <conditionalFormatting sqref="E17:E23">
    <cfRule type="notContainsText" dxfId="175" priority="9" operator="notContains" text="YES">
      <formula>ISERROR(SEARCH("YES",E17))</formula>
    </cfRule>
  </conditionalFormatting>
  <conditionalFormatting sqref="E43:E53">
    <cfRule type="containsText" dxfId="174" priority="7" operator="containsText" text="No">
      <formula>NOT(ISERROR(SEARCH("No",E43)))</formula>
    </cfRule>
  </conditionalFormatting>
  <conditionalFormatting sqref="E25:F42">
    <cfRule type="containsText" dxfId="173" priority="8" operator="containsText" text="No">
      <formula>NOT(ISERROR(SEARCH("No",E25)))</formula>
    </cfRule>
  </conditionalFormatting>
  <conditionalFormatting sqref="H4:J4">
    <cfRule type="cellIs" dxfId="172" priority="1" operator="equal">
      <formula>"NO PASA"</formula>
    </cfRule>
    <cfRule type="cellIs" dxfId="171" priority="2" operator="equal">
      <formula>"NO PASA"</formula>
    </cfRule>
    <cfRule type="cellIs" dxfId="170" priority="3" operator="equal">
      <formula>"PASA"</formula>
    </cfRule>
    <cfRule type="cellIs" dxfId="169" priority="4" operator="equal">
      <formula>"PASA"</formula>
    </cfRule>
    <cfRule type="cellIs" dxfId="168" priority="5" operator="equal">
      <formula>"NO PASA"</formula>
    </cfRule>
    <cfRule type="containsText" dxfId="167" priority="6" operator="containsText" text="PASA">
      <formula>NOT(ISERROR(SEARCH("PASA",H4)))</formula>
    </cfRule>
    <cfRule type="cellIs" dxfId="166" priority="13" operator="equal">
      <formula>$BC$7</formula>
    </cfRule>
    <cfRule type="cellIs" dxfId="165" priority="14" operator="equal">
      <formula>$BC$6</formula>
    </cfRule>
    <cfRule type="cellIs" dxfId="164" priority="15" operator="equal">
      <formula>$BC$4</formula>
    </cfRule>
  </conditionalFormatting>
  <conditionalFormatting sqref="I14">
    <cfRule type="cellIs" dxfId="163" priority="10" operator="greaterThanOrEqual">
      <formula>0.9</formula>
    </cfRule>
    <cfRule type="cellIs" dxfId="162" priority="11" operator="between">
      <formula>0.71</formula>
      <formula>0.9</formula>
    </cfRule>
    <cfRule type="cellIs" dxfId="161" priority="12" operator="lessThan">
      <formula>0.71</formula>
    </cfRule>
  </conditionalFormatting>
  <dataValidations count="3">
    <dataValidation type="list" allowBlank="1" showInputMessage="1" showErrorMessage="1" sqref="E38:E39 E50:E51" xr:uid="{00000000-0002-0000-1400-000000000000}">
      <formula1>"Yes,No,NA"</formula1>
    </dataValidation>
    <dataValidation type="list" allowBlank="1" showInputMessage="1" showErrorMessage="1" sqref="E52:E53 E25:E37 E40:E49" xr:uid="{00000000-0002-0000-1400-000001000000}">
      <formula1>"Yes,No"</formula1>
    </dataValidation>
    <dataValidation type="list" allowBlank="1" showInputMessage="1" showErrorMessage="1" sqref="E17:E23" xr:uid="{00000000-0002-0000-1400-000002000000}">
      <formula1>"Yes,No,Cured in Moment"</formula1>
    </dataValidation>
  </dataValidation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B1:H103"/>
  <sheetViews>
    <sheetView zoomScale="50" zoomScaleNormal="50" workbookViewId="0">
      <selection activeCell="D11" sqref="D11"/>
    </sheetView>
  </sheetViews>
  <sheetFormatPr baseColWidth="10" defaultColWidth="8.85546875" defaultRowHeight="18"/>
  <cols>
    <col min="1" max="1" width="4.42578125" style="124" customWidth="1"/>
    <col min="2" max="2" width="45.85546875" style="122" bestFit="1"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72.75" customHeight="1">
      <c r="B7" s="295" t="s">
        <v>458</v>
      </c>
      <c r="C7" s="130" t="s">
        <v>381</v>
      </c>
      <c r="D7" s="284">
        <v>46295</v>
      </c>
      <c r="E7" s="130"/>
      <c r="F7" s="134"/>
    </row>
    <row r="8" spans="2:8" ht="60.75" customHeight="1">
      <c r="B8" s="297" t="s">
        <v>459</v>
      </c>
      <c r="C8" s="130" t="s">
        <v>381</v>
      </c>
      <c r="D8" s="284">
        <v>46295</v>
      </c>
      <c r="E8" s="127"/>
      <c r="F8" s="135"/>
    </row>
    <row r="9" spans="2:8" ht="68.25" customHeight="1">
      <c r="B9" s="297" t="s">
        <v>460</v>
      </c>
      <c r="C9" s="130" t="s">
        <v>381</v>
      </c>
      <c r="D9" s="284">
        <v>46295</v>
      </c>
      <c r="E9" s="131"/>
      <c r="F9" s="136"/>
    </row>
    <row r="10" spans="2:8" ht="65.25" customHeight="1">
      <c r="B10" s="295" t="s">
        <v>461</v>
      </c>
      <c r="C10" s="130" t="s">
        <v>381</v>
      </c>
      <c r="D10" s="284">
        <v>46295</v>
      </c>
      <c r="E10" s="131"/>
      <c r="F10" s="136"/>
    </row>
    <row r="11" spans="2:8" ht="93.75" customHeight="1">
      <c r="B11" s="297" t="s">
        <v>462</v>
      </c>
      <c r="C11" s="130" t="s">
        <v>381</v>
      </c>
      <c r="D11" s="284">
        <v>46295</v>
      </c>
      <c r="E11" s="131"/>
      <c r="F11" s="136"/>
    </row>
    <row r="12" spans="2:8" ht="88.5" customHeight="1">
      <c r="B12" s="297"/>
      <c r="C12" s="131"/>
      <c r="D12" s="138"/>
      <c r="E12" s="131"/>
      <c r="F12" s="136"/>
    </row>
    <row r="13" spans="2:8" s="126" customFormat="1" ht="50.25" customHeight="1">
      <c r="B13" s="297"/>
      <c r="C13" s="131"/>
      <c r="D13" s="131"/>
      <c r="E13" s="131"/>
      <c r="F13" s="136"/>
    </row>
    <row r="14" spans="2:8" ht="39.950000000000003" customHeight="1">
      <c r="B14" s="297"/>
      <c r="C14" s="131"/>
      <c r="D14" s="131"/>
      <c r="E14" s="131"/>
      <c r="F14" s="136"/>
    </row>
    <row r="15" spans="2:8" ht="39.950000000000003" customHeight="1">
      <c r="B15" s="299"/>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268</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2:E2"/>
    <mergeCell ref="B3:F3"/>
    <mergeCell ref="B4:F4"/>
    <mergeCell ref="B5:B6"/>
    <mergeCell ref="C5:C6"/>
    <mergeCell ref="D5:D6"/>
    <mergeCell ref="E5:E6"/>
    <mergeCell ref="F5:F6"/>
    <mergeCell ref="B18:F18"/>
    <mergeCell ref="B19:F19"/>
    <mergeCell ref="B20:B21"/>
    <mergeCell ref="C20:C21"/>
    <mergeCell ref="D20:D21"/>
    <mergeCell ref="E20:E21"/>
    <mergeCell ref="F20:F21"/>
    <mergeCell ref="B32:F32"/>
    <mergeCell ref="B33:F33"/>
    <mergeCell ref="B34:B35"/>
    <mergeCell ref="C34:C35"/>
    <mergeCell ref="D34:D35"/>
    <mergeCell ref="E34:E35"/>
    <mergeCell ref="F34:F35"/>
  </mergeCells>
  <conditionalFormatting sqref="F31">
    <cfRule type="expression" dxfId="160" priority="1" stopIfTrue="1">
      <formula>IF($E31="NA",TRUE,FALSE)</formula>
    </cfRule>
  </conditionalFormatting>
  <dataValidations count="3">
    <dataValidation type="list" allowBlank="1" showInputMessage="1" showErrorMessage="1" sqref="E31" xr:uid="{00000000-0002-0000-1500-000000000000}">
      <formula1>"Yes,No,NA"</formula1>
    </dataValidation>
    <dataValidation type="list" allowBlank="1" showInputMessage="1" showErrorMessage="1" sqref="E17" xr:uid="{00000000-0002-0000-1500-000001000000}">
      <formula1>"Yes,No"</formula1>
    </dataValidation>
    <dataValidation type="list" allowBlank="1" showInputMessage="1" showErrorMessage="1" sqref="E5:E6 E20:E21 E34:E35" xr:uid="{00000000-0002-0000-1500-000002000000}">
      <formula1>"Yes,No,Cured in Moment"</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BF56"/>
  <sheetViews>
    <sheetView topLeftCell="B1" zoomScale="60" zoomScaleNormal="60" workbookViewId="0">
      <selection activeCell="C5" sqref="C5:D5"/>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23.85546875" style="124"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44.25" customHeight="1" thickBot="1">
      <c r="B3" s="210" t="s">
        <v>208</v>
      </c>
      <c r="C3" s="507" t="s">
        <v>324</v>
      </c>
      <c r="D3" s="508"/>
      <c r="E3" s="161"/>
      <c r="G3" s="220"/>
      <c r="H3" s="220"/>
      <c r="I3" s="220"/>
      <c r="J3" s="220"/>
    </row>
    <row r="4" spans="2:55" ht="73.5" customHeight="1" thickBot="1">
      <c r="B4" s="211" t="s">
        <v>275</v>
      </c>
      <c r="C4" s="509" t="s">
        <v>354</v>
      </c>
      <c r="D4" s="510"/>
      <c r="E4" s="150"/>
      <c r="G4" s="186" t="s">
        <v>11</v>
      </c>
      <c r="H4" s="511" t="str">
        <f>IF(COUNTIF(BB6,"0")&gt;0,"PASA","NO PASA")</f>
        <v>PASA</v>
      </c>
      <c r="I4" s="512"/>
      <c r="J4" s="513"/>
      <c r="BA4" s="221" t="s">
        <v>174</v>
      </c>
      <c r="BB4" s="123">
        <f>COUNTIF(E17:F23,BA4)</f>
        <v>0</v>
      </c>
      <c r="BC4" s="225" t="s">
        <v>262</v>
      </c>
    </row>
    <row r="5" spans="2:55" ht="40.5" customHeight="1" thickBot="1">
      <c r="B5" s="236" t="s">
        <v>203</v>
      </c>
      <c r="C5" s="514">
        <v>46274</v>
      </c>
      <c r="D5" s="515"/>
      <c r="G5" s="228" t="s">
        <v>198</v>
      </c>
      <c r="H5" s="185" t="s">
        <v>3</v>
      </c>
      <c r="I5" s="229" t="s">
        <v>4</v>
      </c>
      <c r="J5" s="230" t="s">
        <v>5</v>
      </c>
      <c r="BC5" s="225"/>
    </row>
    <row r="6" spans="2:55" ht="48" customHeight="1" thickBot="1">
      <c r="C6" s="122"/>
      <c r="E6" s="128"/>
      <c r="G6" s="187" t="s">
        <v>254</v>
      </c>
      <c r="H6" s="160">
        <v>31</v>
      </c>
      <c r="I6" s="160">
        <f>SUM(F25:F31)</f>
        <v>23</v>
      </c>
      <c r="J6" s="167">
        <f t="shared" ref="J6:J9" si="0">I6/H6</f>
        <v>0.74193548387096775</v>
      </c>
      <c r="BA6" s="221" t="s">
        <v>193</v>
      </c>
      <c r="BB6" s="123">
        <f>COUNTIF(E17:F23,BA6)</f>
        <v>0</v>
      </c>
      <c r="BC6" s="225" t="s">
        <v>263</v>
      </c>
    </row>
    <row r="7" spans="2:55" ht="48" customHeight="1" thickBot="1">
      <c r="B7" s="438" t="s">
        <v>243</v>
      </c>
      <c r="C7" s="516" t="s">
        <v>252</v>
      </c>
      <c r="D7" s="517"/>
      <c r="E7" s="164"/>
      <c r="G7" s="168" t="s">
        <v>199</v>
      </c>
      <c r="H7" s="169">
        <v>18</v>
      </c>
      <c r="I7" s="169">
        <f>SUM(F32:F35)</f>
        <v>12</v>
      </c>
      <c r="J7" s="170">
        <f t="shared" si="0"/>
        <v>0.66666666666666663</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19</v>
      </c>
      <c r="J9" s="170">
        <f t="shared" si="0"/>
        <v>1</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5</v>
      </c>
      <c r="J11" s="170">
        <f t="shared" ref="J11:J12" si="1">I11/H11</f>
        <v>1</v>
      </c>
    </row>
    <row r="12" spans="2:55" ht="72.75" customHeight="1" thickBot="1">
      <c r="B12" s="219" t="s">
        <v>244</v>
      </c>
      <c r="C12" s="524" t="s">
        <v>246</v>
      </c>
      <c r="D12" s="525"/>
      <c r="E12" s="166"/>
      <c r="G12" s="198" t="s">
        <v>271</v>
      </c>
      <c r="H12" s="199">
        <f>SUM(H6:H11)</f>
        <v>117</v>
      </c>
      <c r="I12" s="199">
        <f>SUM(I6:I11)</f>
        <v>103</v>
      </c>
      <c r="J12" s="200">
        <f t="shared" si="1"/>
        <v>0.88034188034188032</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0.88034188034188032</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563"/>
      <c r="H17" s="564"/>
      <c r="I17" s="564"/>
      <c r="J17" s="564"/>
      <c r="K17" s="565"/>
      <c r="V17" s="122"/>
      <c r="AY17" s="172" t="str">
        <f>E17</f>
        <v>Yes</v>
      </c>
      <c r="BA17" s="221" t="s">
        <v>174</v>
      </c>
      <c r="BB17" s="123">
        <f>COUNTIF(AY17:AY23,BA17)</f>
        <v>0</v>
      </c>
      <c r="BC17" s="225" t="s">
        <v>262</v>
      </c>
    </row>
    <row r="18" spans="2:58" s="172" customFormat="1" ht="51" customHeight="1">
      <c r="B18" s="439"/>
      <c r="C18" s="216">
        <v>2</v>
      </c>
      <c r="D18" s="217" t="s">
        <v>210</v>
      </c>
      <c r="E18" s="491" t="s">
        <v>266</v>
      </c>
      <c r="F18" s="492"/>
      <c r="G18" s="453"/>
      <c r="H18" s="454"/>
      <c r="I18" s="454"/>
      <c r="J18" s="454"/>
      <c r="K18" s="45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44"/>
      <c r="H19" s="445"/>
      <c r="I19" s="445"/>
      <c r="J19" s="445"/>
      <c r="K19" s="446"/>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G20" s="453"/>
      <c r="H20" s="454"/>
      <c r="I20" s="454"/>
      <c r="J20" s="454"/>
      <c r="K20" s="455"/>
      <c r="V20" s="122"/>
      <c r="AY20" s="172" t="str">
        <f t="shared" si="2"/>
        <v>Yes</v>
      </c>
      <c r="BA20" s="222"/>
      <c r="BB20" s="122"/>
      <c r="BC20" s="122"/>
    </row>
    <row r="21" spans="2:58" s="172" customFormat="1" ht="45.95" customHeight="1">
      <c r="B21" s="439"/>
      <c r="C21" s="214">
        <v>5</v>
      </c>
      <c r="D21" s="215" t="s">
        <v>213</v>
      </c>
      <c r="E21" s="496" t="s">
        <v>266</v>
      </c>
      <c r="F21" s="497"/>
      <c r="G21" s="573"/>
      <c r="H21" s="574"/>
      <c r="I21" s="574"/>
      <c r="J21" s="574"/>
      <c r="K21" s="575"/>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450"/>
      <c r="H25" s="451"/>
      <c r="I25" s="451"/>
      <c r="J25" s="451"/>
      <c r="K25" s="452"/>
    </row>
    <row r="26" spans="2:58" ht="77.25" customHeight="1">
      <c r="B26" s="439"/>
      <c r="C26" s="127">
        <v>2</v>
      </c>
      <c r="D26" s="192" t="s">
        <v>219</v>
      </c>
      <c r="E26" s="140" t="s">
        <v>266</v>
      </c>
      <c r="F26" s="135">
        <f>IF(E26="Yes",5,0)</f>
        <v>5</v>
      </c>
      <c r="G26" s="453"/>
      <c r="H26" s="454"/>
      <c r="I26" s="454"/>
      <c r="J26" s="454"/>
      <c r="K26" s="455"/>
    </row>
    <row r="27" spans="2:58" ht="45.95" customHeight="1">
      <c r="B27" s="439"/>
      <c r="C27" s="143">
        <v>3</v>
      </c>
      <c r="D27" s="193" t="s">
        <v>216</v>
      </c>
      <c r="E27" s="177" t="s">
        <v>266</v>
      </c>
      <c r="F27" s="178">
        <f>IF(E27="Yes",5,0)</f>
        <v>5</v>
      </c>
      <c r="G27" s="444"/>
      <c r="H27" s="445"/>
      <c r="I27" s="445"/>
      <c r="J27" s="445"/>
      <c r="K27" s="446"/>
    </row>
    <row r="28" spans="2:58" ht="51.75" customHeight="1">
      <c r="B28" s="439"/>
      <c r="C28" s="127">
        <v>4</v>
      </c>
      <c r="D28" s="192" t="s">
        <v>217</v>
      </c>
      <c r="E28" s="140" t="s">
        <v>266</v>
      </c>
      <c r="F28" s="135">
        <f t="shared" ref="F28:F32" si="3">IF(E28="Yes",1,0)</f>
        <v>1</v>
      </c>
      <c r="G28" s="453"/>
      <c r="H28" s="454"/>
      <c r="I28" s="454"/>
      <c r="J28" s="454"/>
      <c r="K28" s="455"/>
    </row>
    <row r="29" spans="2:58" ht="50.25" customHeight="1">
      <c r="B29" s="439"/>
      <c r="C29" s="151">
        <v>5</v>
      </c>
      <c r="D29" s="193" t="s">
        <v>218</v>
      </c>
      <c r="E29" s="177" t="s">
        <v>193</v>
      </c>
      <c r="F29" s="178">
        <f t="shared" si="3"/>
        <v>0</v>
      </c>
      <c r="G29" s="453" t="s">
        <v>412</v>
      </c>
      <c r="H29" s="454"/>
      <c r="I29" s="454"/>
      <c r="J29" s="454"/>
      <c r="K29" s="455"/>
    </row>
    <row r="30" spans="2:58" ht="47.25" customHeight="1">
      <c r="B30" s="439"/>
      <c r="C30" s="131">
        <v>6</v>
      </c>
      <c r="D30" s="192" t="s">
        <v>220</v>
      </c>
      <c r="E30" s="140" t="s">
        <v>266</v>
      </c>
      <c r="F30" s="135">
        <f>IF(E30="Yes",7,0)</f>
        <v>7</v>
      </c>
      <c r="G30" s="453"/>
      <c r="H30" s="454"/>
      <c r="I30" s="454"/>
      <c r="J30" s="454"/>
      <c r="K30" s="455"/>
    </row>
    <row r="31" spans="2:58" ht="48.75" customHeight="1" thickBot="1">
      <c r="B31" s="440"/>
      <c r="C31" s="158">
        <v>7</v>
      </c>
      <c r="D31" s="194" t="s">
        <v>221</v>
      </c>
      <c r="E31" s="179" t="s">
        <v>193</v>
      </c>
      <c r="F31" s="180">
        <f>IF(E31="Yes",7,0)</f>
        <v>0</v>
      </c>
      <c r="G31" s="543" t="s">
        <v>413</v>
      </c>
      <c r="H31" s="544"/>
      <c r="I31" s="544"/>
      <c r="J31" s="544"/>
      <c r="K31" s="545"/>
    </row>
    <row r="32" spans="2:58" ht="48.75" customHeight="1">
      <c r="B32" s="438" t="s">
        <v>257</v>
      </c>
      <c r="C32" s="227">
        <v>1</v>
      </c>
      <c r="D32" s="206" t="s">
        <v>222</v>
      </c>
      <c r="E32" s="181" t="s">
        <v>193</v>
      </c>
      <c r="F32" s="182">
        <f t="shared" si="3"/>
        <v>0</v>
      </c>
      <c r="G32" s="456" t="s">
        <v>414</v>
      </c>
      <c r="H32" s="457"/>
      <c r="I32" s="457"/>
      <c r="J32" s="457"/>
      <c r="K32" s="458"/>
    </row>
    <row r="33" spans="2:11" ht="45.95" customHeight="1">
      <c r="B33" s="439"/>
      <c r="C33" s="143">
        <v>2</v>
      </c>
      <c r="D33" s="203" t="s">
        <v>223</v>
      </c>
      <c r="E33" s="177" t="s">
        <v>266</v>
      </c>
      <c r="F33" s="178">
        <f>IF(E33="Yes",5,0)</f>
        <v>5</v>
      </c>
      <c r="G33" s="444"/>
      <c r="H33" s="445"/>
      <c r="I33" s="445"/>
      <c r="J33" s="445"/>
      <c r="K33" s="446"/>
    </row>
    <row r="34" spans="2:11" ht="45.95" customHeight="1">
      <c r="B34" s="439"/>
      <c r="C34" s="131">
        <v>3</v>
      </c>
      <c r="D34" s="202" t="s">
        <v>224</v>
      </c>
      <c r="E34" s="140" t="s">
        <v>193</v>
      </c>
      <c r="F34" s="135">
        <f>IF(E34="Yes",5,0)</f>
        <v>0</v>
      </c>
      <c r="G34" s="453" t="s">
        <v>415</v>
      </c>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195"/>
      <c r="H37" s="196"/>
      <c r="I37" s="196"/>
      <c r="J37" s="196"/>
      <c r="K37" s="197"/>
    </row>
    <row r="38" spans="2:11" ht="63"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315</v>
      </c>
      <c r="F39" s="178">
        <f>IF(OR(E39="Yes",E39="NA"),7,0)</f>
        <v>7</v>
      </c>
      <c r="G39" s="195"/>
      <c r="H39" s="196"/>
      <c r="I39" s="196"/>
      <c r="J39" s="196"/>
      <c r="K39" s="19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149"/>
      <c r="H41" s="147"/>
      <c r="I41" s="147"/>
      <c r="J41" s="147"/>
      <c r="K41" s="148"/>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266</v>
      </c>
      <c r="F44" s="135">
        <f>IF(E44="Yes",1,0)</f>
        <v>1</v>
      </c>
      <c r="G44" s="453"/>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315</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266</v>
      </c>
      <c r="F53" s="190">
        <f>IF(E53="Yes",1,0)</f>
        <v>1</v>
      </c>
      <c r="G53" s="444"/>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6">
    <mergeCell ref="G20:K20"/>
    <mergeCell ref="G29:K29"/>
    <mergeCell ref="I14:J14"/>
    <mergeCell ref="B1:D2"/>
    <mergeCell ref="C3:D3"/>
    <mergeCell ref="C4:D4"/>
    <mergeCell ref="H4:J4"/>
    <mergeCell ref="C5:D5"/>
    <mergeCell ref="B7:B9"/>
    <mergeCell ref="C7:D7"/>
    <mergeCell ref="C8:D9"/>
    <mergeCell ref="C11:D11"/>
    <mergeCell ref="C12:D12"/>
    <mergeCell ref="C13:D13"/>
    <mergeCell ref="C14:D14"/>
    <mergeCell ref="G14:H14"/>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G23:K23"/>
    <mergeCell ref="B36:B40"/>
    <mergeCell ref="G36:K36"/>
    <mergeCell ref="G38:K38"/>
    <mergeCell ref="G40:K40"/>
    <mergeCell ref="B24:D24"/>
    <mergeCell ref="G24:K24"/>
    <mergeCell ref="B25:B31"/>
    <mergeCell ref="G25:K25"/>
    <mergeCell ref="G26:K26"/>
    <mergeCell ref="G27:K27"/>
    <mergeCell ref="G28:K28"/>
    <mergeCell ref="G30:K30"/>
    <mergeCell ref="G31:K31"/>
    <mergeCell ref="B41:B45"/>
    <mergeCell ref="G42:K42"/>
    <mergeCell ref="G43:K43"/>
    <mergeCell ref="B32:B35"/>
    <mergeCell ref="G32:K32"/>
    <mergeCell ref="G33:K33"/>
    <mergeCell ref="G34:K34"/>
    <mergeCell ref="G35:K35"/>
    <mergeCell ref="G44:K44"/>
    <mergeCell ref="G45:K45"/>
    <mergeCell ref="B46:B48"/>
    <mergeCell ref="G46:K46"/>
    <mergeCell ref="G47:K47"/>
    <mergeCell ref="G48:K48"/>
    <mergeCell ref="B49:B53"/>
    <mergeCell ref="G49:K49"/>
    <mergeCell ref="G50:K50"/>
    <mergeCell ref="G51:K51"/>
    <mergeCell ref="G52:K52"/>
    <mergeCell ref="G53:K53"/>
  </mergeCells>
  <conditionalFormatting sqref="E17:E23">
    <cfRule type="notContainsText" dxfId="159" priority="9" operator="notContains" text="YES">
      <formula>ISERROR(SEARCH("YES",E17))</formula>
    </cfRule>
  </conditionalFormatting>
  <conditionalFormatting sqref="E43:E53">
    <cfRule type="containsText" dxfId="158" priority="7" operator="containsText" text="No">
      <formula>NOT(ISERROR(SEARCH("No",E43)))</formula>
    </cfRule>
  </conditionalFormatting>
  <conditionalFormatting sqref="E25:F42">
    <cfRule type="containsText" dxfId="157" priority="8" operator="containsText" text="No">
      <formula>NOT(ISERROR(SEARCH("No",E25)))</formula>
    </cfRule>
  </conditionalFormatting>
  <conditionalFormatting sqref="H4:J4">
    <cfRule type="cellIs" dxfId="156" priority="1" operator="equal">
      <formula>"NO PASA"</formula>
    </cfRule>
    <cfRule type="cellIs" dxfId="155" priority="2" operator="equal">
      <formula>"NO PASA"</formula>
    </cfRule>
    <cfRule type="cellIs" dxfId="154" priority="3" operator="equal">
      <formula>"PASA"</formula>
    </cfRule>
    <cfRule type="cellIs" dxfId="153" priority="4" operator="equal">
      <formula>"PASA"</formula>
    </cfRule>
    <cfRule type="cellIs" dxfId="152" priority="5" operator="equal">
      <formula>"NO PASA"</formula>
    </cfRule>
    <cfRule type="containsText" dxfId="151" priority="6" operator="containsText" text="PASA">
      <formula>NOT(ISERROR(SEARCH("PASA",H4)))</formula>
    </cfRule>
    <cfRule type="cellIs" dxfId="150" priority="13" operator="equal">
      <formula>$BC$7</formula>
    </cfRule>
    <cfRule type="cellIs" dxfId="149" priority="14" operator="equal">
      <formula>$BC$6</formula>
    </cfRule>
    <cfRule type="cellIs" dxfId="148" priority="15" operator="equal">
      <formula>$BC$4</formula>
    </cfRule>
  </conditionalFormatting>
  <conditionalFormatting sqref="I14">
    <cfRule type="cellIs" dxfId="147" priority="10" operator="greaterThanOrEqual">
      <formula>0.9</formula>
    </cfRule>
    <cfRule type="cellIs" dxfId="146" priority="11" operator="between">
      <formula>0.71</formula>
      <formula>0.9</formula>
    </cfRule>
    <cfRule type="cellIs" dxfId="145" priority="12" operator="lessThan">
      <formula>0.71</formula>
    </cfRule>
  </conditionalFormatting>
  <dataValidations count="3">
    <dataValidation type="list" allowBlank="1" showInputMessage="1" showErrorMessage="1" sqref="E38:E39 E50:E51" xr:uid="{00000000-0002-0000-1000-000000000000}">
      <formula1>"Yes,No,NA"</formula1>
    </dataValidation>
    <dataValidation type="list" allowBlank="1" showInputMessage="1" showErrorMessage="1" sqref="E52:E53 E25:E37 E40:E49" xr:uid="{00000000-0002-0000-1000-000001000000}">
      <formula1>"Yes,No"</formula1>
    </dataValidation>
    <dataValidation type="list" allowBlank="1" showInputMessage="1" showErrorMessage="1" sqref="E17:E23" xr:uid="{00000000-0002-0000-1000-000002000000}">
      <formula1>"Yes,No,Cured in Moment"</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B1:H103"/>
  <sheetViews>
    <sheetView zoomScale="60" zoomScaleNormal="60" workbookViewId="0">
      <selection activeCell="D10" sqref="D10"/>
    </sheetView>
  </sheetViews>
  <sheetFormatPr baseColWidth="10" defaultColWidth="8.85546875" defaultRowHeight="18"/>
  <cols>
    <col min="1" max="1" width="4.42578125" style="124" customWidth="1"/>
    <col min="2" max="2" width="40.140625" style="122"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60" customHeight="1">
      <c r="B7" s="297" t="s">
        <v>416</v>
      </c>
      <c r="C7" s="130" t="s">
        <v>382</v>
      </c>
      <c r="D7" s="138" t="s">
        <v>387</v>
      </c>
      <c r="E7" s="130"/>
      <c r="F7" s="134"/>
    </row>
    <row r="8" spans="2:8" ht="75.75" customHeight="1">
      <c r="B8" s="298" t="s">
        <v>417</v>
      </c>
      <c r="C8" s="130" t="s">
        <v>382</v>
      </c>
      <c r="D8" s="138" t="s">
        <v>387</v>
      </c>
      <c r="E8" s="127"/>
      <c r="F8" s="135"/>
    </row>
    <row r="9" spans="2:8" ht="52.5" customHeight="1">
      <c r="B9" s="297" t="s">
        <v>418</v>
      </c>
      <c r="C9" s="130" t="s">
        <v>382</v>
      </c>
      <c r="D9" s="284" t="s">
        <v>411</v>
      </c>
      <c r="E9" s="127"/>
      <c r="F9" s="136"/>
    </row>
    <row r="10" spans="2:8" ht="72">
      <c r="B10" s="297" t="s">
        <v>419</v>
      </c>
      <c r="C10" s="130" t="s">
        <v>382</v>
      </c>
      <c r="D10" s="284" t="s">
        <v>411</v>
      </c>
      <c r="E10" s="131"/>
      <c r="F10" s="136"/>
    </row>
    <row r="11" spans="2:8" ht="71.25" customHeight="1">
      <c r="B11" s="297"/>
      <c r="C11" s="130" t="s">
        <v>382</v>
      </c>
      <c r="D11" s="138"/>
      <c r="E11" s="131"/>
      <c r="F11" s="136"/>
    </row>
    <row r="12" spans="2:8" ht="44.1" customHeight="1">
      <c r="B12" s="297"/>
      <c r="C12" s="131"/>
      <c r="D12" s="307"/>
      <c r="E12" s="131"/>
      <c r="F12" s="136"/>
    </row>
    <row r="13" spans="2:8" s="126" customFormat="1" ht="42" customHeight="1">
      <c r="B13" s="297"/>
      <c r="C13" s="131"/>
      <c r="D13" s="131"/>
      <c r="E13" s="131"/>
      <c r="F13" s="136"/>
    </row>
    <row r="14" spans="2:8" ht="39.950000000000003" customHeight="1">
      <c r="B14" s="297"/>
      <c r="C14" s="131"/>
      <c r="D14" s="131"/>
      <c r="E14" s="131"/>
      <c r="F14" s="136"/>
    </row>
    <row r="15" spans="2:8" ht="39.950000000000003" customHeight="1">
      <c r="B15" s="141"/>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268</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2:E2"/>
    <mergeCell ref="B3:F3"/>
    <mergeCell ref="B4:F4"/>
    <mergeCell ref="B5:B6"/>
    <mergeCell ref="C5:C6"/>
    <mergeCell ref="D5:D6"/>
    <mergeCell ref="E5:E6"/>
    <mergeCell ref="F5:F6"/>
    <mergeCell ref="B18:F18"/>
    <mergeCell ref="B19:F19"/>
    <mergeCell ref="B20:B21"/>
    <mergeCell ref="C20:C21"/>
    <mergeCell ref="D20:D21"/>
    <mergeCell ref="E20:E21"/>
    <mergeCell ref="F20:F21"/>
    <mergeCell ref="B32:F32"/>
    <mergeCell ref="B33:F33"/>
    <mergeCell ref="B34:B35"/>
    <mergeCell ref="C34:C35"/>
    <mergeCell ref="D34:D35"/>
    <mergeCell ref="E34:E35"/>
    <mergeCell ref="F34:F35"/>
  </mergeCells>
  <conditionalFormatting sqref="F31">
    <cfRule type="expression" dxfId="144" priority="1" stopIfTrue="1">
      <formula>IF($E31="NA",TRUE,FALSE)</formula>
    </cfRule>
  </conditionalFormatting>
  <dataValidations count="3">
    <dataValidation type="list" allowBlank="1" showInputMessage="1" showErrorMessage="1" sqref="E31" xr:uid="{00000000-0002-0000-1100-000000000000}">
      <formula1>"Yes,No,NA"</formula1>
    </dataValidation>
    <dataValidation type="list" allowBlank="1" showInputMessage="1" showErrorMessage="1" sqref="E17" xr:uid="{00000000-0002-0000-1100-000001000000}">
      <formula1>"Yes,No"</formula1>
    </dataValidation>
    <dataValidation type="list" allowBlank="1" showInputMessage="1" showErrorMessage="1" sqref="E5:E6 E20:E21 E34:E35" xr:uid="{00000000-0002-0000-1100-000002000000}">
      <formula1>"Yes,No,Cured in Moment"</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B1:BF56"/>
  <sheetViews>
    <sheetView zoomScale="50" zoomScaleNormal="50" workbookViewId="0">
      <selection activeCell="E42" sqref="E42"/>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20.5703125" style="124"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47.25" customHeight="1" thickBot="1">
      <c r="B3" s="210" t="s">
        <v>208</v>
      </c>
      <c r="C3" s="507" t="s">
        <v>325</v>
      </c>
      <c r="D3" s="508"/>
      <c r="E3" s="161"/>
      <c r="G3" s="220"/>
      <c r="H3" s="220"/>
      <c r="I3" s="220"/>
      <c r="J3" s="220"/>
    </row>
    <row r="4" spans="2:55" ht="84" customHeight="1" thickBot="1">
      <c r="B4" s="211" t="s">
        <v>275</v>
      </c>
      <c r="C4" s="509" t="s">
        <v>367</v>
      </c>
      <c r="D4" s="510"/>
      <c r="E4" s="150"/>
      <c r="G4" s="186" t="s">
        <v>11</v>
      </c>
      <c r="H4" s="511" t="str">
        <f>IF(COUNTIF(BB6,"0")&gt;0,"PASA","NO PASA")</f>
        <v>PASA</v>
      </c>
      <c r="I4" s="512"/>
      <c r="J4" s="513"/>
      <c r="BA4" s="221" t="s">
        <v>174</v>
      </c>
      <c r="BB4" s="123">
        <f>COUNTIF(E17:F23,BA4)</f>
        <v>0</v>
      </c>
      <c r="BC4" s="225" t="s">
        <v>262</v>
      </c>
    </row>
    <row r="5" spans="2:55" ht="45.75" customHeight="1" thickBot="1">
      <c r="B5" s="236" t="s">
        <v>203</v>
      </c>
      <c r="C5" s="514">
        <v>46274</v>
      </c>
      <c r="D5" s="515"/>
      <c r="G5" s="228" t="s">
        <v>198</v>
      </c>
      <c r="H5" s="185" t="s">
        <v>3</v>
      </c>
      <c r="I5" s="229" t="s">
        <v>4</v>
      </c>
      <c r="J5" s="230" t="s">
        <v>5</v>
      </c>
      <c r="BC5" s="225"/>
    </row>
    <row r="6" spans="2:55" ht="48" customHeight="1" thickBot="1">
      <c r="C6" s="122"/>
      <c r="E6" s="128"/>
      <c r="G6" s="187" t="s">
        <v>254</v>
      </c>
      <c r="H6" s="160">
        <v>31</v>
      </c>
      <c r="I6" s="160">
        <f>SUM(F25:F31)</f>
        <v>18</v>
      </c>
      <c r="J6" s="167">
        <f t="shared" ref="J6:J9" si="0">I6/H6</f>
        <v>0.58064516129032262</v>
      </c>
      <c r="BA6" s="221" t="s">
        <v>193</v>
      </c>
      <c r="BB6" s="123">
        <f>COUNTIF(E17:F23,BA6)</f>
        <v>0</v>
      </c>
      <c r="BC6" s="225" t="s">
        <v>263</v>
      </c>
    </row>
    <row r="7" spans="2:55" ht="48" customHeight="1" thickBot="1">
      <c r="B7" s="438" t="s">
        <v>243</v>
      </c>
      <c r="C7" s="516" t="s">
        <v>252</v>
      </c>
      <c r="D7" s="517"/>
      <c r="E7" s="164"/>
      <c r="G7" s="168" t="s">
        <v>199</v>
      </c>
      <c r="H7" s="169">
        <v>18</v>
      </c>
      <c r="I7" s="169">
        <f>SUM(F32:F35)</f>
        <v>12</v>
      </c>
      <c r="J7" s="170">
        <f t="shared" si="0"/>
        <v>0.66666666666666663</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18</v>
      </c>
      <c r="J9" s="170">
        <f t="shared" si="0"/>
        <v>0.94736842105263153</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5</v>
      </c>
      <c r="J11" s="170">
        <f t="shared" ref="J11:J12" si="1">I11/H11</f>
        <v>1</v>
      </c>
    </row>
    <row r="12" spans="2:55" ht="72.75" customHeight="1" thickBot="1">
      <c r="B12" s="219" t="s">
        <v>244</v>
      </c>
      <c r="C12" s="524" t="s">
        <v>246</v>
      </c>
      <c r="D12" s="525"/>
      <c r="E12" s="166"/>
      <c r="G12" s="198" t="s">
        <v>271</v>
      </c>
      <c r="H12" s="199">
        <f>SUM(H6:H11)</f>
        <v>117</v>
      </c>
      <c r="I12" s="199">
        <f>SUM(I6:I11)</f>
        <v>97</v>
      </c>
      <c r="J12" s="200">
        <f t="shared" si="1"/>
        <v>0.82905982905982911</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0.82905982905982911</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G20" s="493"/>
      <c r="H20" s="494"/>
      <c r="I20" s="494"/>
      <c r="J20" s="494"/>
      <c r="K20" s="495"/>
      <c r="V20" s="122"/>
      <c r="AY20" s="172" t="str">
        <f t="shared" si="2"/>
        <v>Yes</v>
      </c>
      <c r="BA20" s="222"/>
      <c r="BB20" s="122"/>
      <c r="BC20" s="122"/>
    </row>
    <row r="21" spans="2:58" s="172" customFormat="1" ht="45.95" customHeight="1">
      <c r="B21" s="439"/>
      <c r="C21" s="214">
        <v>5</v>
      </c>
      <c r="D21" s="215" t="s">
        <v>213</v>
      </c>
      <c r="E21" s="496" t="s">
        <v>266</v>
      </c>
      <c r="F21" s="497"/>
      <c r="G21" s="498"/>
      <c r="H21" s="499"/>
      <c r="I21" s="499"/>
      <c r="J21" s="499"/>
      <c r="K21" s="500"/>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480"/>
      <c r="H25" s="481"/>
      <c r="I25" s="481"/>
      <c r="J25" s="481"/>
      <c r="K25" s="482"/>
    </row>
    <row r="26" spans="2:58" ht="45.95" customHeight="1">
      <c r="B26" s="439"/>
      <c r="C26" s="127">
        <v>2</v>
      </c>
      <c r="D26" s="192" t="s">
        <v>219</v>
      </c>
      <c r="E26" s="140" t="s">
        <v>193</v>
      </c>
      <c r="F26" s="135">
        <f>IF(E26="Yes",5,0)</f>
        <v>0</v>
      </c>
      <c r="G26" s="453" t="s">
        <v>372</v>
      </c>
      <c r="H26" s="454"/>
      <c r="I26" s="454"/>
      <c r="J26" s="454"/>
      <c r="K26" s="455"/>
    </row>
    <row r="27" spans="2:58" ht="45.95" customHeight="1">
      <c r="B27" s="439"/>
      <c r="C27" s="143">
        <v>3</v>
      </c>
      <c r="D27" s="193" t="s">
        <v>216</v>
      </c>
      <c r="E27" s="177" t="s">
        <v>266</v>
      </c>
      <c r="F27" s="178">
        <f>IF(E27="Yes",5,0)</f>
        <v>5</v>
      </c>
      <c r="G27" s="444"/>
      <c r="H27" s="445"/>
      <c r="I27" s="445"/>
      <c r="J27" s="445"/>
      <c r="K27" s="446"/>
    </row>
    <row r="28" spans="2:58" ht="59.25" customHeight="1">
      <c r="B28" s="439"/>
      <c r="C28" s="127">
        <v>4</v>
      </c>
      <c r="D28" s="192" t="s">
        <v>217</v>
      </c>
      <c r="E28" s="140" t="s">
        <v>266</v>
      </c>
      <c r="F28" s="135">
        <f t="shared" ref="F28:F32" si="3">IF(E28="Yes",1,0)</f>
        <v>1</v>
      </c>
      <c r="G28" s="453"/>
      <c r="H28" s="454"/>
      <c r="I28" s="454"/>
      <c r="J28" s="454"/>
      <c r="K28" s="455"/>
    </row>
    <row r="29" spans="2:58" ht="50.25" customHeight="1">
      <c r="B29" s="439"/>
      <c r="C29" s="151">
        <v>5</v>
      </c>
      <c r="D29" s="193" t="s">
        <v>218</v>
      </c>
      <c r="E29" s="177" t="s">
        <v>193</v>
      </c>
      <c r="F29" s="178">
        <f t="shared" si="3"/>
        <v>0</v>
      </c>
      <c r="G29" s="465" t="s">
        <v>488</v>
      </c>
      <c r="H29" s="466"/>
      <c r="I29" s="466"/>
      <c r="J29" s="466"/>
      <c r="K29" s="467"/>
    </row>
    <row r="30" spans="2:58" ht="47.25" customHeight="1">
      <c r="B30" s="439"/>
      <c r="C30" s="131">
        <v>6</v>
      </c>
      <c r="D30" s="192" t="s">
        <v>220</v>
      </c>
      <c r="E30" s="140" t="s">
        <v>266</v>
      </c>
      <c r="F30" s="135">
        <f>IF(E30="Yes",7,0)</f>
        <v>7</v>
      </c>
      <c r="G30" s="435"/>
      <c r="H30" s="436"/>
      <c r="I30" s="436"/>
      <c r="J30" s="436"/>
      <c r="K30" s="437"/>
    </row>
    <row r="31" spans="2:58" ht="48.75" customHeight="1" thickBot="1">
      <c r="B31" s="440"/>
      <c r="C31" s="158">
        <v>7</v>
      </c>
      <c r="D31" s="194" t="s">
        <v>221</v>
      </c>
      <c r="E31" s="179" t="s">
        <v>193</v>
      </c>
      <c r="F31" s="180">
        <f>IF(E31="Yes",7,0)</f>
        <v>0</v>
      </c>
      <c r="G31" s="543" t="s">
        <v>487</v>
      </c>
      <c r="H31" s="544"/>
      <c r="I31" s="544"/>
      <c r="J31" s="544"/>
      <c r="K31" s="545"/>
    </row>
    <row r="32" spans="2:58" ht="48.75" customHeight="1">
      <c r="B32" s="438" t="s">
        <v>257</v>
      </c>
      <c r="C32" s="227">
        <v>1</v>
      </c>
      <c r="D32" s="206" t="s">
        <v>222</v>
      </c>
      <c r="E32" s="181" t="s">
        <v>193</v>
      </c>
      <c r="F32" s="182">
        <f t="shared" si="3"/>
        <v>0</v>
      </c>
      <c r="G32" s="456" t="s">
        <v>489</v>
      </c>
      <c r="H32" s="457"/>
      <c r="I32" s="457"/>
      <c r="J32" s="457"/>
      <c r="K32" s="458"/>
    </row>
    <row r="33" spans="2:11" ht="45.95" customHeight="1">
      <c r="B33" s="439"/>
      <c r="C33" s="143">
        <v>2</v>
      </c>
      <c r="D33" s="203" t="s">
        <v>223</v>
      </c>
      <c r="E33" s="177" t="s">
        <v>266</v>
      </c>
      <c r="F33" s="178">
        <f>IF(E33="Yes",5,0)</f>
        <v>5</v>
      </c>
      <c r="G33" s="444"/>
      <c r="H33" s="445"/>
      <c r="I33" s="445"/>
      <c r="J33" s="445"/>
      <c r="K33" s="446"/>
    </row>
    <row r="34" spans="2:11" ht="45.95" customHeight="1">
      <c r="B34" s="439"/>
      <c r="C34" s="131">
        <v>3</v>
      </c>
      <c r="D34" s="202" t="s">
        <v>224</v>
      </c>
      <c r="E34" s="140" t="s">
        <v>193</v>
      </c>
      <c r="F34" s="135">
        <f>IF(E34="Yes",5,0)</f>
        <v>0</v>
      </c>
      <c r="G34" s="453" t="s">
        <v>490</v>
      </c>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465"/>
      <c r="H37" s="466"/>
      <c r="I37" s="466"/>
      <c r="J37" s="466"/>
      <c r="K37" s="467"/>
    </row>
    <row r="38" spans="2:11" ht="50.25"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266</v>
      </c>
      <c r="F39" s="178">
        <f>IF(OR(E39="Yes",E39="NA"),7,0)</f>
        <v>7</v>
      </c>
      <c r="G39" s="195"/>
      <c r="H39" s="196"/>
      <c r="I39" s="196"/>
      <c r="J39" s="196"/>
      <c r="K39" s="19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149"/>
      <c r="H41" s="147"/>
      <c r="I41" s="147"/>
      <c r="J41" s="147"/>
      <c r="K41" s="148"/>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90.75" customHeight="1">
      <c r="B44" s="439"/>
      <c r="C44" s="127">
        <v>4</v>
      </c>
      <c r="D44" s="202" t="s">
        <v>235</v>
      </c>
      <c r="E44" s="140" t="s">
        <v>193</v>
      </c>
      <c r="F44" s="135">
        <f>IF(E44="Yes",1,0)</f>
        <v>0</v>
      </c>
      <c r="G44" s="453" t="s">
        <v>491</v>
      </c>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266</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59.25" customHeight="1">
      <c r="B53" s="439"/>
      <c r="C53" s="151">
        <v>5</v>
      </c>
      <c r="D53" s="204" t="s">
        <v>234</v>
      </c>
      <c r="E53" s="189" t="s">
        <v>266</v>
      </c>
      <c r="F53" s="190">
        <f>IF(E53="Yes",1,0)</f>
        <v>1</v>
      </c>
      <c r="G53" s="444"/>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7">
    <mergeCell ref="I14:J14"/>
    <mergeCell ref="B1:D2"/>
    <mergeCell ref="C3:D3"/>
    <mergeCell ref="C4:D4"/>
    <mergeCell ref="H4:J4"/>
    <mergeCell ref="C5:D5"/>
    <mergeCell ref="B7:B9"/>
    <mergeCell ref="C7:D7"/>
    <mergeCell ref="C8:D9"/>
    <mergeCell ref="C11:D11"/>
    <mergeCell ref="C12:D12"/>
    <mergeCell ref="C13:D13"/>
    <mergeCell ref="C14:D14"/>
    <mergeCell ref="G14:H14"/>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B36:B40"/>
    <mergeCell ref="G36:K36"/>
    <mergeCell ref="G38:K38"/>
    <mergeCell ref="G40:K40"/>
    <mergeCell ref="B24:D24"/>
    <mergeCell ref="G24:K24"/>
    <mergeCell ref="B25:B31"/>
    <mergeCell ref="G25:K25"/>
    <mergeCell ref="G26:K26"/>
    <mergeCell ref="G27:K27"/>
    <mergeCell ref="G28:K28"/>
    <mergeCell ref="G30:K30"/>
    <mergeCell ref="G31:K31"/>
    <mergeCell ref="G29:K29"/>
    <mergeCell ref="G37:K37"/>
    <mergeCell ref="B49:B53"/>
    <mergeCell ref="G49:K49"/>
    <mergeCell ref="G50:K50"/>
    <mergeCell ref="G51:K51"/>
    <mergeCell ref="G52:K52"/>
    <mergeCell ref="G53:K53"/>
    <mergeCell ref="G20:K20"/>
    <mergeCell ref="B46:B48"/>
    <mergeCell ref="G46:K46"/>
    <mergeCell ref="G47:K47"/>
    <mergeCell ref="G48:K48"/>
    <mergeCell ref="B41:B45"/>
    <mergeCell ref="G42:K42"/>
    <mergeCell ref="G43:K43"/>
    <mergeCell ref="B32:B35"/>
    <mergeCell ref="G32:K32"/>
    <mergeCell ref="G33:K33"/>
    <mergeCell ref="G34:K34"/>
    <mergeCell ref="G35:K35"/>
    <mergeCell ref="G44:K44"/>
    <mergeCell ref="G45:K45"/>
    <mergeCell ref="G23:K23"/>
  </mergeCells>
  <conditionalFormatting sqref="E17:E23">
    <cfRule type="notContainsText" dxfId="143" priority="9" operator="notContains" text="YES">
      <formula>ISERROR(SEARCH("YES",E17))</formula>
    </cfRule>
  </conditionalFormatting>
  <conditionalFormatting sqref="E43:E53">
    <cfRule type="containsText" dxfId="142" priority="7" operator="containsText" text="No">
      <formula>NOT(ISERROR(SEARCH("No",E43)))</formula>
    </cfRule>
  </conditionalFormatting>
  <conditionalFormatting sqref="E25:F42">
    <cfRule type="containsText" dxfId="141" priority="8" operator="containsText" text="No">
      <formula>NOT(ISERROR(SEARCH("No",E25)))</formula>
    </cfRule>
  </conditionalFormatting>
  <conditionalFormatting sqref="H4:J4">
    <cfRule type="cellIs" dxfId="140" priority="1" operator="equal">
      <formula>"NO PASA"</formula>
    </cfRule>
    <cfRule type="cellIs" dxfId="139" priority="2" operator="equal">
      <formula>"NO PASA"</formula>
    </cfRule>
    <cfRule type="cellIs" dxfId="138" priority="3" operator="equal">
      <formula>"PASA"</formula>
    </cfRule>
    <cfRule type="cellIs" dxfId="137" priority="4" operator="equal">
      <formula>"PASA"</formula>
    </cfRule>
    <cfRule type="cellIs" dxfId="136" priority="5" operator="equal">
      <formula>"NO PASA"</formula>
    </cfRule>
    <cfRule type="containsText" dxfId="135" priority="6" operator="containsText" text="PASA">
      <formula>NOT(ISERROR(SEARCH("PASA",H4)))</formula>
    </cfRule>
    <cfRule type="cellIs" dxfId="134" priority="13" operator="equal">
      <formula>$BC$7</formula>
    </cfRule>
    <cfRule type="cellIs" dxfId="133" priority="14" operator="equal">
      <formula>$BC$6</formula>
    </cfRule>
    <cfRule type="cellIs" dxfId="132" priority="15" operator="equal">
      <formula>$BC$4</formula>
    </cfRule>
  </conditionalFormatting>
  <conditionalFormatting sqref="I14">
    <cfRule type="cellIs" dxfId="131" priority="10" operator="greaterThanOrEqual">
      <formula>0.9</formula>
    </cfRule>
    <cfRule type="cellIs" dxfId="130" priority="11" operator="between">
      <formula>0.71</formula>
      <formula>0.9</formula>
    </cfRule>
    <cfRule type="cellIs" dxfId="129" priority="12" operator="lessThan">
      <formula>0.71</formula>
    </cfRule>
  </conditionalFormatting>
  <dataValidations count="3">
    <dataValidation type="list" allowBlank="1" showInputMessage="1" showErrorMessage="1" sqref="E38:E39 E50:E51" xr:uid="{00000000-0002-0000-1200-000000000000}">
      <formula1>"Yes,No,NA"</formula1>
    </dataValidation>
    <dataValidation type="list" allowBlank="1" showInputMessage="1" showErrorMessage="1" sqref="E52:E53 E25:E37 E40:E49" xr:uid="{00000000-0002-0000-1200-000001000000}">
      <formula1>"Yes,No"</formula1>
    </dataValidation>
    <dataValidation type="list" allowBlank="1" showInputMessage="1" showErrorMessage="1" sqref="E17:E23" xr:uid="{00000000-0002-0000-1200-000002000000}">
      <formula1>"Yes,No,Cured in Moment"</formula1>
    </dataValidation>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B1:H103"/>
  <sheetViews>
    <sheetView zoomScale="50" zoomScaleNormal="50" workbookViewId="0">
      <selection activeCell="D11" sqref="D11"/>
    </sheetView>
  </sheetViews>
  <sheetFormatPr baseColWidth="10" defaultColWidth="8.85546875" defaultRowHeight="18"/>
  <cols>
    <col min="1" max="1" width="4.42578125" style="124" customWidth="1"/>
    <col min="2" max="2" width="44.140625" style="122" bestFit="1"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39.950000000000003" customHeight="1">
      <c r="B7" s="297" t="s">
        <v>392</v>
      </c>
      <c r="C7" s="130" t="s">
        <v>382</v>
      </c>
      <c r="D7" s="138">
        <v>46295</v>
      </c>
      <c r="E7" s="130"/>
      <c r="F7" s="134"/>
    </row>
    <row r="8" spans="2:8" ht="81.75" customHeight="1">
      <c r="B8" s="297" t="s">
        <v>492</v>
      </c>
      <c r="C8" s="130" t="s">
        <v>382</v>
      </c>
      <c r="D8" s="138">
        <v>46295</v>
      </c>
      <c r="E8" s="127"/>
      <c r="F8" s="135"/>
    </row>
    <row r="9" spans="2:8" ht="71.25" customHeight="1">
      <c r="B9" s="297" t="s">
        <v>493</v>
      </c>
      <c r="C9" s="130" t="s">
        <v>382</v>
      </c>
      <c r="D9" s="138">
        <v>46295</v>
      </c>
      <c r="E9" s="127"/>
      <c r="F9" s="136"/>
    </row>
    <row r="10" spans="2:8" ht="59.25" customHeight="1">
      <c r="B10" s="297" t="s">
        <v>494</v>
      </c>
      <c r="C10" s="130" t="s">
        <v>382</v>
      </c>
      <c r="D10" s="138">
        <v>46295</v>
      </c>
      <c r="E10" s="131"/>
      <c r="F10" s="136"/>
    </row>
    <row r="11" spans="2:8" ht="54">
      <c r="B11" s="297" t="s">
        <v>495</v>
      </c>
      <c r="C11" s="130" t="s">
        <v>382</v>
      </c>
      <c r="D11" s="138">
        <v>46295</v>
      </c>
      <c r="E11" s="131"/>
      <c r="F11" s="136"/>
    </row>
    <row r="12" spans="2:8" ht="67.5" customHeight="1">
      <c r="B12" s="297"/>
      <c r="C12" s="130"/>
      <c r="D12" s="131"/>
      <c r="E12" s="131"/>
      <c r="F12" s="136"/>
    </row>
    <row r="13" spans="2:8" s="126" customFormat="1">
      <c r="B13" s="297"/>
      <c r="C13" s="131"/>
      <c r="D13" s="131"/>
      <c r="E13" s="131"/>
      <c r="F13" s="136"/>
    </row>
    <row r="14" spans="2:8" ht="39.950000000000003" customHeight="1">
      <c r="B14" s="297"/>
      <c r="C14" s="131"/>
      <c r="D14" s="131"/>
      <c r="E14" s="131"/>
      <c r="F14" s="136"/>
    </row>
    <row r="15" spans="2:8" ht="39.950000000000003" customHeight="1">
      <c r="B15" s="141"/>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268</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2:E2"/>
    <mergeCell ref="B3:F3"/>
    <mergeCell ref="B4:F4"/>
    <mergeCell ref="B5:B6"/>
    <mergeCell ref="C5:C6"/>
    <mergeCell ref="D5:D6"/>
    <mergeCell ref="E5:E6"/>
    <mergeCell ref="F5:F6"/>
    <mergeCell ref="B18:F18"/>
    <mergeCell ref="B19:F19"/>
    <mergeCell ref="B20:B21"/>
    <mergeCell ref="C20:C21"/>
    <mergeCell ref="D20:D21"/>
    <mergeCell ref="E20:E21"/>
    <mergeCell ref="F20:F21"/>
    <mergeCell ref="B32:F32"/>
    <mergeCell ref="B33:F33"/>
    <mergeCell ref="B34:B35"/>
    <mergeCell ref="C34:C35"/>
    <mergeCell ref="D34:D35"/>
    <mergeCell ref="E34:E35"/>
    <mergeCell ref="F34:F35"/>
  </mergeCells>
  <conditionalFormatting sqref="F31">
    <cfRule type="expression" dxfId="128" priority="1" stopIfTrue="1">
      <formula>IF($E31="NA",TRUE,FALSE)</formula>
    </cfRule>
  </conditionalFormatting>
  <dataValidations count="3">
    <dataValidation type="list" allowBlank="1" showInputMessage="1" showErrorMessage="1" sqref="E31" xr:uid="{00000000-0002-0000-1300-000000000000}">
      <formula1>"Yes,No,NA"</formula1>
    </dataValidation>
    <dataValidation type="list" allowBlank="1" showInputMessage="1" showErrorMessage="1" sqref="E17" xr:uid="{00000000-0002-0000-1300-000001000000}">
      <formula1>"Yes,No"</formula1>
    </dataValidation>
    <dataValidation type="list" allowBlank="1" showInputMessage="1" showErrorMessage="1" sqref="E5:E6 E20:E21 E34:E35" xr:uid="{00000000-0002-0000-1300-000002000000}">
      <formula1>"Yes,No,Cured in Moment"</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70C0"/>
  </sheetPr>
  <dimension ref="B1:BF56"/>
  <sheetViews>
    <sheetView zoomScale="60" zoomScaleNormal="60" workbookViewId="0">
      <selection activeCell="B1" sqref="B1:D2"/>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20.5703125" style="124"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47.25" customHeight="1" thickBot="1">
      <c r="B3" s="210" t="s">
        <v>208</v>
      </c>
      <c r="C3" s="507" t="s">
        <v>328</v>
      </c>
      <c r="D3" s="508"/>
      <c r="E3" s="161"/>
      <c r="G3" s="220"/>
      <c r="H3" s="220"/>
      <c r="I3" s="220"/>
      <c r="J3" s="220"/>
    </row>
    <row r="4" spans="2:55" ht="80.25" customHeight="1" thickBot="1">
      <c r="B4" s="211" t="s">
        <v>275</v>
      </c>
      <c r="C4" s="509" t="s">
        <v>355</v>
      </c>
      <c r="D4" s="510"/>
      <c r="E4" s="150"/>
      <c r="G4" s="186" t="s">
        <v>11</v>
      </c>
      <c r="H4" s="511" t="str">
        <f>IF(COUNTIF(BB6,"0")&gt;0,"PASA","NO PASA")</f>
        <v>PASA</v>
      </c>
      <c r="I4" s="512"/>
      <c r="J4" s="513"/>
      <c r="BA4" s="221" t="s">
        <v>174</v>
      </c>
      <c r="BB4" s="123">
        <f>COUNTIF(E17:F23,BA4)</f>
        <v>0</v>
      </c>
      <c r="BC4" s="225" t="s">
        <v>262</v>
      </c>
    </row>
    <row r="5" spans="2:55" ht="38.25" customHeight="1" thickBot="1">
      <c r="B5" s="236" t="s">
        <v>203</v>
      </c>
      <c r="C5" s="514">
        <v>46272</v>
      </c>
      <c r="D5" s="515"/>
      <c r="G5" s="228" t="s">
        <v>198</v>
      </c>
      <c r="H5" s="185" t="s">
        <v>3</v>
      </c>
      <c r="I5" s="229" t="s">
        <v>4</v>
      </c>
      <c r="J5" s="230" t="s">
        <v>5</v>
      </c>
      <c r="BC5" s="225"/>
    </row>
    <row r="6" spans="2:55" ht="48" customHeight="1" thickBot="1">
      <c r="C6" s="122"/>
      <c r="E6" s="128"/>
      <c r="G6" s="187" t="s">
        <v>254</v>
      </c>
      <c r="H6" s="160">
        <v>31</v>
      </c>
      <c r="I6" s="160">
        <f>SUM(F25:F31)</f>
        <v>26</v>
      </c>
      <c r="J6" s="167">
        <f t="shared" ref="J6:J9" si="0">I6/H6</f>
        <v>0.83870967741935487</v>
      </c>
      <c r="BA6" s="221" t="s">
        <v>193</v>
      </c>
      <c r="BB6" s="123">
        <f>COUNTIF(E17:F23,BA6)</f>
        <v>0</v>
      </c>
      <c r="BC6" s="225" t="s">
        <v>263</v>
      </c>
    </row>
    <row r="7" spans="2:55" ht="48" customHeight="1" thickBot="1">
      <c r="B7" s="438" t="s">
        <v>243</v>
      </c>
      <c r="C7" s="516" t="s">
        <v>252</v>
      </c>
      <c r="D7" s="517"/>
      <c r="E7" s="164"/>
      <c r="G7" s="168" t="s">
        <v>199</v>
      </c>
      <c r="H7" s="169">
        <v>18</v>
      </c>
      <c r="I7" s="169">
        <f>SUM(F32:F35)</f>
        <v>13</v>
      </c>
      <c r="J7" s="170">
        <f t="shared" si="0"/>
        <v>0.72222222222222221</v>
      </c>
      <c r="BA7" s="224" t="s">
        <v>261</v>
      </c>
      <c r="BB7" s="123">
        <f>COUNTIF(E17:F23,BA7)</f>
        <v>0</v>
      </c>
      <c r="BC7" s="225" t="s">
        <v>264</v>
      </c>
    </row>
    <row r="8" spans="2:55" ht="48" customHeight="1" thickBot="1">
      <c r="B8" s="439"/>
      <c r="C8" s="518" t="s">
        <v>253</v>
      </c>
      <c r="D8" s="519"/>
      <c r="E8" s="165"/>
      <c r="G8" s="187" t="s">
        <v>200</v>
      </c>
      <c r="H8" s="160">
        <v>31</v>
      </c>
      <c r="I8" s="160">
        <f>SUM(F36:F40)</f>
        <v>26</v>
      </c>
      <c r="J8" s="167">
        <f t="shared" si="0"/>
        <v>0.83870967741935487</v>
      </c>
      <c r="R8" s="237"/>
    </row>
    <row r="9" spans="2:55" ht="63" customHeight="1" thickBot="1">
      <c r="B9" s="440"/>
      <c r="C9" s="520"/>
      <c r="D9" s="521"/>
      <c r="E9" s="165"/>
      <c r="G9" s="168" t="s">
        <v>255</v>
      </c>
      <c r="H9" s="169">
        <v>19</v>
      </c>
      <c r="I9" s="169">
        <f>SUM(F41:F45)</f>
        <v>18</v>
      </c>
      <c r="J9" s="170">
        <f t="shared" si="0"/>
        <v>0.94736842105263153</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4</v>
      </c>
      <c r="J11" s="170">
        <f t="shared" ref="J11:J12" si="1">I11/H11</f>
        <v>0.8</v>
      </c>
    </row>
    <row r="12" spans="2:55" ht="72.75" customHeight="1" thickBot="1">
      <c r="B12" s="219" t="s">
        <v>244</v>
      </c>
      <c r="C12" s="524" t="s">
        <v>246</v>
      </c>
      <c r="D12" s="525"/>
      <c r="E12" s="166"/>
      <c r="G12" s="198" t="s">
        <v>271</v>
      </c>
      <c r="H12" s="199">
        <f>SUM(H6:H11)</f>
        <v>117</v>
      </c>
      <c r="I12" s="199">
        <f>SUM(I6:I11)</f>
        <v>100</v>
      </c>
      <c r="J12" s="200">
        <f t="shared" si="1"/>
        <v>0.85470085470085466</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0.85470085470085466</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G20" s="493"/>
      <c r="H20" s="494"/>
      <c r="I20" s="494"/>
      <c r="J20" s="494"/>
      <c r="K20" s="495"/>
      <c r="V20" s="122"/>
      <c r="AY20" s="172" t="str">
        <f t="shared" si="2"/>
        <v>Yes</v>
      </c>
      <c r="BA20" s="222"/>
      <c r="BB20" s="122"/>
      <c r="BC20" s="122"/>
    </row>
    <row r="21" spans="2:58" s="172" customFormat="1" ht="45.95" customHeight="1">
      <c r="B21" s="439"/>
      <c r="C21" s="214">
        <v>5</v>
      </c>
      <c r="D21" s="215" t="s">
        <v>213</v>
      </c>
      <c r="E21" s="496" t="s">
        <v>266</v>
      </c>
      <c r="F21" s="497"/>
      <c r="G21" s="498"/>
      <c r="H21" s="499"/>
      <c r="I21" s="499"/>
      <c r="J21" s="499"/>
      <c r="K21" s="500"/>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583"/>
      <c r="H25" s="584"/>
      <c r="I25" s="584"/>
      <c r="J25" s="584"/>
      <c r="K25" s="585"/>
    </row>
    <row r="26" spans="2:58" ht="45.95" customHeight="1">
      <c r="B26" s="439"/>
      <c r="C26" s="127">
        <v>2</v>
      </c>
      <c r="D26" s="192" t="s">
        <v>219</v>
      </c>
      <c r="E26" s="140" t="s">
        <v>193</v>
      </c>
      <c r="F26" s="135">
        <f>IF(E26="Yes",5,0)</f>
        <v>0</v>
      </c>
      <c r="G26" s="598" t="s">
        <v>429</v>
      </c>
      <c r="H26" s="599"/>
      <c r="I26" s="599"/>
      <c r="J26" s="599"/>
      <c r="K26" s="600"/>
    </row>
    <row r="27" spans="2:58" ht="59.25" customHeight="1">
      <c r="B27" s="439"/>
      <c r="C27" s="143">
        <v>3</v>
      </c>
      <c r="D27" s="193" t="s">
        <v>216</v>
      </c>
      <c r="E27" s="177" t="s">
        <v>266</v>
      </c>
      <c r="F27" s="178">
        <f>IF(E27="Yes",5,0)</f>
        <v>5</v>
      </c>
      <c r="G27" s="444"/>
      <c r="H27" s="445"/>
      <c r="I27" s="445"/>
      <c r="J27" s="445"/>
      <c r="K27" s="446"/>
    </row>
    <row r="28" spans="2:58" ht="51.75" customHeight="1">
      <c r="B28" s="439"/>
      <c r="C28" s="127">
        <v>4</v>
      </c>
      <c r="D28" s="192" t="s">
        <v>217</v>
      </c>
      <c r="E28" s="140" t="s">
        <v>266</v>
      </c>
      <c r="F28" s="135">
        <f t="shared" ref="F28:F32" si="3">IF(E28="Yes",1,0)</f>
        <v>1</v>
      </c>
      <c r="G28" s="453"/>
      <c r="H28" s="454"/>
      <c r="I28" s="454"/>
      <c r="J28" s="454"/>
      <c r="K28" s="455"/>
    </row>
    <row r="29" spans="2:58" ht="50.25" customHeight="1">
      <c r="B29" s="439"/>
      <c r="C29" s="151">
        <v>5</v>
      </c>
      <c r="D29" s="193" t="s">
        <v>218</v>
      </c>
      <c r="E29" s="177" t="s">
        <v>266</v>
      </c>
      <c r="F29" s="178">
        <f t="shared" si="3"/>
        <v>1</v>
      </c>
      <c r="G29" s="465"/>
      <c r="H29" s="466"/>
      <c r="I29" s="466"/>
      <c r="J29" s="466"/>
      <c r="K29" s="467"/>
    </row>
    <row r="30" spans="2:58" ht="47.25" customHeight="1">
      <c r="B30" s="439"/>
      <c r="C30" s="131">
        <v>6</v>
      </c>
      <c r="D30" s="192" t="s">
        <v>220</v>
      </c>
      <c r="E30" s="140" t="s">
        <v>266</v>
      </c>
      <c r="F30" s="135">
        <f>IF(E30="Yes",7,0)</f>
        <v>7</v>
      </c>
      <c r="G30" s="474"/>
      <c r="H30" s="475"/>
      <c r="I30" s="475"/>
      <c r="J30" s="475"/>
      <c r="K30" s="476"/>
    </row>
    <row r="31" spans="2:58" ht="48.75" customHeight="1" thickBot="1">
      <c r="B31" s="440"/>
      <c r="C31" s="158">
        <v>7</v>
      </c>
      <c r="D31" s="194" t="s">
        <v>221</v>
      </c>
      <c r="E31" s="179" t="s">
        <v>266</v>
      </c>
      <c r="F31" s="180">
        <f>IF(E31="Yes",7,0)</f>
        <v>7</v>
      </c>
      <c r="G31" s="155"/>
      <c r="H31" s="156"/>
      <c r="I31" s="156"/>
      <c r="J31" s="156"/>
      <c r="K31" s="157"/>
    </row>
    <row r="32" spans="2:58" ht="48.75" customHeight="1">
      <c r="B32" s="438" t="s">
        <v>257</v>
      </c>
      <c r="C32" s="227">
        <v>1</v>
      </c>
      <c r="D32" s="206" t="s">
        <v>222</v>
      </c>
      <c r="E32" s="181" t="s">
        <v>266</v>
      </c>
      <c r="F32" s="182">
        <f t="shared" si="3"/>
        <v>1</v>
      </c>
      <c r="G32" s="456"/>
      <c r="H32" s="457"/>
      <c r="I32" s="457"/>
      <c r="J32" s="457"/>
      <c r="K32" s="458"/>
    </row>
    <row r="33" spans="2:11" ht="45.95" customHeight="1">
      <c r="B33" s="439"/>
      <c r="C33" s="143">
        <v>2</v>
      </c>
      <c r="D33" s="203" t="s">
        <v>223</v>
      </c>
      <c r="E33" s="177" t="s">
        <v>193</v>
      </c>
      <c r="F33" s="178">
        <f>IF(E33="Yes",5,0)</f>
        <v>0</v>
      </c>
      <c r="G33" s="589" t="s">
        <v>430</v>
      </c>
      <c r="H33" s="590"/>
      <c r="I33" s="590"/>
      <c r="J33" s="590"/>
      <c r="K33" s="591"/>
    </row>
    <row r="34" spans="2:11" ht="45.95" customHeight="1">
      <c r="B34" s="439"/>
      <c r="C34" s="131">
        <v>3</v>
      </c>
      <c r="D34" s="202" t="s">
        <v>224</v>
      </c>
      <c r="E34" s="140" t="s">
        <v>266</v>
      </c>
      <c r="F34" s="135">
        <f>IF(E34="Yes",5,0)</f>
        <v>5</v>
      </c>
      <c r="G34" s="453"/>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195"/>
      <c r="H37" s="196"/>
      <c r="I37" s="196"/>
      <c r="J37" s="196"/>
      <c r="K37" s="197"/>
    </row>
    <row r="38" spans="2:11" ht="50.25"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266</v>
      </c>
      <c r="F39" s="178">
        <f>IF(OR(E39="Yes",E39="NA"),7,0)</f>
        <v>7</v>
      </c>
      <c r="G39" s="195"/>
      <c r="H39" s="196"/>
      <c r="I39" s="196"/>
      <c r="J39" s="196"/>
      <c r="K39" s="197"/>
    </row>
    <row r="40" spans="2:11" ht="45.95" customHeight="1" thickBot="1">
      <c r="B40" s="439"/>
      <c r="C40" s="132">
        <v>5</v>
      </c>
      <c r="D40" s="209" t="s">
        <v>227</v>
      </c>
      <c r="E40" s="142" t="s">
        <v>193</v>
      </c>
      <c r="F40" s="137">
        <f>IF(E40="Yes",5,0)</f>
        <v>0</v>
      </c>
      <c r="G40" s="595" t="s">
        <v>431</v>
      </c>
      <c r="H40" s="596"/>
      <c r="I40" s="596"/>
      <c r="J40" s="596"/>
      <c r="K40" s="597"/>
    </row>
    <row r="41" spans="2:11" ht="56.25" customHeight="1">
      <c r="B41" s="438" t="s">
        <v>255</v>
      </c>
      <c r="C41" s="174">
        <v>1</v>
      </c>
      <c r="D41" s="201" t="s">
        <v>229</v>
      </c>
      <c r="E41" s="175" t="s">
        <v>266</v>
      </c>
      <c r="F41" s="176">
        <f>IF(E41="Yes",5,0)</f>
        <v>5</v>
      </c>
      <c r="G41" s="557"/>
      <c r="H41" s="558"/>
      <c r="I41" s="558"/>
      <c r="J41" s="558"/>
      <c r="K41" s="559"/>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193</v>
      </c>
      <c r="F44" s="135">
        <f>IF(E44="Yes",1,0)</f>
        <v>0</v>
      </c>
      <c r="G44" s="592" t="s">
        <v>432</v>
      </c>
      <c r="H44" s="593"/>
      <c r="I44" s="593"/>
      <c r="J44" s="593"/>
      <c r="K44" s="594"/>
    </row>
    <row r="45" spans="2:11" ht="76.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315</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193</v>
      </c>
      <c r="F53" s="190">
        <f>IF(E53="Yes",1,0)</f>
        <v>0</v>
      </c>
      <c r="G53" s="444" t="s">
        <v>433</v>
      </c>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6">
    <mergeCell ref="G20:K20"/>
    <mergeCell ref="G30:K30"/>
    <mergeCell ref="G41:K41"/>
    <mergeCell ref="I14:J14"/>
    <mergeCell ref="B1:D2"/>
    <mergeCell ref="C3:D3"/>
    <mergeCell ref="C4:D4"/>
    <mergeCell ref="H4:J4"/>
    <mergeCell ref="C5:D5"/>
    <mergeCell ref="B7:B9"/>
    <mergeCell ref="C7:D7"/>
    <mergeCell ref="C8:D9"/>
    <mergeCell ref="C11:D11"/>
    <mergeCell ref="C12:D12"/>
    <mergeCell ref="C13:D13"/>
    <mergeCell ref="C14:D14"/>
    <mergeCell ref="G14:H14"/>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G23:K23"/>
    <mergeCell ref="B36:B40"/>
    <mergeCell ref="G36:K36"/>
    <mergeCell ref="G38:K38"/>
    <mergeCell ref="G40:K40"/>
    <mergeCell ref="B24:D24"/>
    <mergeCell ref="G24:K24"/>
    <mergeCell ref="B25:B31"/>
    <mergeCell ref="G25:K25"/>
    <mergeCell ref="G26:K26"/>
    <mergeCell ref="G27:K27"/>
    <mergeCell ref="G28:K28"/>
    <mergeCell ref="G29:K29"/>
    <mergeCell ref="B41:B45"/>
    <mergeCell ref="G42:K42"/>
    <mergeCell ref="G43:K43"/>
    <mergeCell ref="B32:B35"/>
    <mergeCell ref="G32:K32"/>
    <mergeCell ref="G33:K33"/>
    <mergeCell ref="G34:K34"/>
    <mergeCell ref="G35:K35"/>
    <mergeCell ref="G44:K44"/>
    <mergeCell ref="G45:K45"/>
    <mergeCell ref="B46:B48"/>
    <mergeCell ref="G46:K46"/>
    <mergeCell ref="G47:K47"/>
    <mergeCell ref="G48:K48"/>
    <mergeCell ref="B49:B53"/>
    <mergeCell ref="G49:K49"/>
    <mergeCell ref="G50:K50"/>
    <mergeCell ref="G51:K51"/>
    <mergeCell ref="G52:K52"/>
    <mergeCell ref="G53:K53"/>
  </mergeCells>
  <conditionalFormatting sqref="E17:E23">
    <cfRule type="notContainsText" dxfId="127" priority="9" operator="notContains" text="YES">
      <formula>ISERROR(SEARCH("YES",E17))</formula>
    </cfRule>
  </conditionalFormatting>
  <conditionalFormatting sqref="E43:E53">
    <cfRule type="containsText" dxfId="126" priority="7" operator="containsText" text="No">
      <formula>NOT(ISERROR(SEARCH("No",E43)))</formula>
    </cfRule>
  </conditionalFormatting>
  <conditionalFormatting sqref="E25:F42">
    <cfRule type="containsText" dxfId="125" priority="8" operator="containsText" text="No">
      <formula>NOT(ISERROR(SEARCH("No",E25)))</formula>
    </cfRule>
  </conditionalFormatting>
  <conditionalFormatting sqref="H4:J4">
    <cfRule type="cellIs" dxfId="124" priority="1" operator="equal">
      <formula>"NO PASA"</formula>
    </cfRule>
    <cfRule type="cellIs" dxfId="123" priority="2" operator="equal">
      <formula>"NO PASA"</formula>
    </cfRule>
    <cfRule type="cellIs" dxfId="122" priority="3" operator="equal">
      <formula>"PASA"</formula>
    </cfRule>
    <cfRule type="cellIs" dxfId="121" priority="4" operator="equal">
      <formula>"PASA"</formula>
    </cfRule>
    <cfRule type="cellIs" dxfId="120" priority="5" operator="equal">
      <formula>"NO PASA"</formula>
    </cfRule>
    <cfRule type="containsText" dxfId="119" priority="6" operator="containsText" text="PASA">
      <formula>NOT(ISERROR(SEARCH("PASA",H4)))</formula>
    </cfRule>
    <cfRule type="cellIs" dxfId="118" priority="13" operator="equal">
      <formula>$BC$7</formula>
    </cfRule>
    <cfRule type="cellIs" dxfId="117" priority="14" operator="equal">
      <formula>$BC$6</formula>
    </cfRule>
    <cfRule type="cellIs" dxfId="116" priority="15" operator="equal">
      <formula>$BC$4</formula>
    </cfRule>
  </conditionalFormatting>
  <conditionalFormatting sqref="I14">
    <cfRule type="cellIs" dxfId="115" priority="10" operator="greaterThanOrEqual">
      <formula>0.9</formula>
    </cfRule>
    <cfRule type="cellIs" dxfId="114" priority="11" operator="between">
      <formula>0.71</formula>
      <formula>0.9</formula>
    </cfRule>
    <cfRule type="cellIs" dxfId="113" priority="12" operator="lessThan">
      <formula>0.71</formula>
    </cfRule>
  </conditionalFormatting>
  <dataValidations count="3">
    <dataValidation type="list" allowBlank="1" showInputMessage="1" showErrorMessage="1" sqref="E38:E39 E50:E51" xr:uid="{00000000-0002-0000-1800-000000000000}">
      <formula1>"Yes,No,NA"</formula1>
    </dataValidation>
    <dataValidation type="list" allowBlank="1" showInputMessage="1" showErrorMessage="1" sqref="E52:E53 E25:E37 E40:E49" xr:uid="{00000000-0002-0000-1800-000001000000}">
      <formula1>"Yes,No"</formula1>
    </dataValidation>
    <dataValidation type="list" allowBlank="1" showInputMessage="1" showErrorMessage="1" sqref="E17:E23" xr:uid="{00000000-0002-0000-1800-000002000000}">
      <formula1>"Yes,No,Cured in Moment"</formula1>
    </dataValidation>
  </dataValidation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70C0"/>
  </sheetPr>
  <dimension ref="B1:H103"/>
  <sheetViews>
    <sheetView zoomScale="50" zoomScaleNormal="50" workbookViewId="0">
      <selection activeCell="C11" sqref="C11:D11"/>
    </sheetView>
  </sheetViews>
  <sheetFormatPr baseColWidth="10" defaultColWidth="8.85546875" defaultRowHeight="18"/>
  <cols>
    <col min="1" max="1" width="4.42578125" style="124" customWidth="1"/>
    <col min="2" max="2" width="49.85546875" style="122" bestFit="1"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95.25" customHeight="1">
      <c r="B7" s="300" t="s">
        <v>434</v>
      </c>
      <c r="C7" s="130" t="s">
        <v>383</v>
      </c>
      <c r="D7" s="138" t="s">
        <v>391</v>
      </c>
      <c r="E7" s="130"/>
      <c r="F7" s="134"/>
    </row>
    <row r="8" spans="2:8" ht="89.25" customHeight="1">
      <c r="B8" s="301" t="s">
        <v>435</v>
      </c>
      <c r="C8" s="130" t="s">
        <v>383</v>
      </c>
      <c r="D8" s="138">
        <v>46295</v>
      </c>
      <c r="E8" s="127"/>
      <c r="F8" s="135"/>
    </row>
    <row r="9" spans="2:8" ht="66.75" customHeight="1">
      <c r="B9" s="302" t="s">
        <v>436</v>
      </c>
      <c r="C9" s="130" t="s">
        <v>383</v>
      </c>
      <c r="D9" s="138">
        <v>46295</v>
      </c>
      <c r="E9" s="127"/>
      <c r="F9" s="136"/>
    </row>
    <row r="10" spans="2:8" ht="77.25" customHeight="1">
      <c r="B10" s="302" t="s">
        <v>437</v>
      </c>
      <c r="C10" s="130" t="s">
        <v>383</v>
      </c>
      <c r="D10" s="138">
        <v>46295</v>
      </c>
      <c r="E10" s="131"/>
      <c r="F10" s="136"/>
    </row>
    <row r="11" spans="2:8" ht="65.25" customHeight="1">
      <c r="B11" s="302" t="s">
        <v>438</v>
      </c>
      <c r="C11" s="130" t="s">
        <v>383</v>
      </c>
      <c r="D11" s="138">
        <v>46295</v>
      </c>
      <c r="E11" s="131"/>
      <c r="F11" s="136"/>
    </row>
    <row r="12" spans="2:8" ht="44.1" customHeight="1">
      <c r="B12" s="302"/>
      <c r="C12" s="131"/>
      <c r="D12" s="131"/>
      <c r="E12" s="131"/>
      <c r="F12" s="136"/>
    </row>
    <row r="13" spans="2:8" s="126" customFormat="1">
      <c r="B13" s="302"/>
      <c r="C13" s="131"/>
      <c r="D13" s="307"/>
      <c r="E13" s="131"/>
      <c r="F13" s="136"/>
    </row>
    <row r="14" spans="2:8" ht="62.25" customHeight="1">
      <c r="B14" s="300"/>
      <c r="C14" s="131"/>
      <c r="D14" s="131"/>
      <c r="E14" s="131"/>
      <c r="F14" s="136"/>
    </row>
    <row r="15" spans="2:8" ht="39.950000000000003" customHeight="1">
      <c r="B15" s="302"/>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268</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2:E2"/>
    <mergeCell ref="B3:F3"/>
    <mergeCell ref="B4:F4"/>
    <mergeCell ref="B5:B6"/>
    <mergeCell ref="C5:C6"/>
    <mergeCell ref="D5:D6"/>
    <mergeCell ref="E5:E6"/>
    <mergeCell ref="F5:F6"/>
    <mergeCell ref="B18:F18"/>
    <mergeCell ref="B19:F19"/>
    <mergeCell ref="B20:B21"/>
    <mergeCell ref="C20:C21"/>
    <mergeCell ref="D20:D21"/>
    <mergeCell ref="E20:E21"/>
    <mergeCell ref="F20:F21"/>
    <mergeCell ref="B32:F32"/>
    <mergeCell ref="B33:F33"/>
    <mergeCell ref="B34:B35"/>
    <mergeCell ref="C34:C35"/>
    <mergeCell ref="D34:D35"/>
    <mergeCell ref="E34:E35"/>
    <mergeCell ref="F34:F35"/>
  </mergeCells>
  <conditionalFormatting sqref="F31">
    <cfRule type="expression" dxfId="112" priority="1" stopIfTrue="1">
      <formula>IF($E31="NA",TRUE,FALSE)</formula>
    </cfRule>
  </conditionalFormatting>
  <dataValidations count="3">
    <dataValidation type="list" allowBlank="1" showInputMessage="1" showErrorMessage="1" sqref="E31" xr:uid="{00000000-0002-0000-1900-000000000000}">
      <formula1>"Yes,No,NA"</formula1>
    </dataValidation>
    <dataValidation type="list" allowBlank="1" showInputMessage="1" showErrorMessage="1" sqref="E17" xr:uid="{00000000-0002-0000-1900-000001000000}">
      <formula1>"Yes,No"</formula1>
    </dataValidation>
    <dataValidation type="list" allowBlank="1" showInputMessage="1" showErrorMessage="1" sqref="E5:E6 E20:E21 E34:E35" xr:uid="{00000000-0002-0000-1900-000002000000}">
      <formula1>"Yes,No,Cured in Moment"</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2F6C0"/>
  </sheetPr>
  <dimension ref="B1:BF56"/>
  <sheetViews>
    <sheetView zoomScale="60" zoomScaleNormal="60" workbookViewId="0">
      <selection activeCell="G22" sqref="G22:K22"/>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19.85546875" style="124"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51" customHeight="1" thickBot="1">
      <c r="B3" s="210" t="s">
        <v>208</v>
      </c>
      <c r="C3" s="507" t="s">
        <v>329</v>
      </c>
      <c r="D3" s="508"/>
      <c r="E3" s="161"/>
      <c r="G3" s="220"/>
      <c r="H3" s="220"/>
      <c r="I3" s="220"/>
      <c r="J3" s="220"/>
    </row>
    <row r="4" spans="2:55" ht="78.75" customHeight="1" thickBot="1">
      <c r="B4" s="211" t="s">
        <v>275</v>
      </c>
      <c r="C4" s="509" t="s">
        <v>355</v>
      </c>
      <c r="D4" s="510"/>
      <c r="E4" s="150"/>
      <c r="G4" s="186" t="s">
        <v>11</v>
      </c>
      <c r="H4" s="511" t="str">
        <f>IF(COUNTIF(BB6,"0")&gt;0,"PASA","NO PASA")</f>
        <v>PASA</v>
      </c>
      <c r="I4" s="512"/>
      <c r="J4" s="513"/>
      <c r="BA4" s="221" t="s">
        <v>174</v>
      </c>
      <c r="BB4" s="123">
        <f>COUNTIF(E17:F23,BA4)</f>
        <v>0</v>
      </c>
      <c r="BC4" s="225" t="s">
        <v>262</v>
      </c>
    </row>
    <row r="5" spans="2:55" ht="44.25" customHeight="1" thickBot="1">
      <c r="B5" s="236" t="s">
        <v>203</v>
      </c>
      <c r="C5" s="514">
        <v>46272</v>
      </c>
      <c r="D5" s="515"/>
      <c r="G5" s="228" t="s">
        <v>198</v>
      </c>
      <c r="H5" s="185" t="s">
        <v>3</v>
      </c>
      <c r="I5" s="229" t="s">
        <v>4</v>
      </c>
      <c r="J5" s="230" t="s">
        <v>5</v>
      </c>
      <c r="BC5" s="225"/>
    </row>
    <row r="6" spans="2:55" ht="48" customHeight="1" thickBot="1">
      <c r="C6" s="122"/>
      <c r="E6" s="128"/>
      <c r="G6" s="187" t="s">
        <v>254</v>
      </c>
      <c r="H6" s="160">
        <v>31</v>
      </c>
      <c r="I6" s="160">
        <f>SUM(F25:F31)</f>
        <v>21</v>
      </c>
      <c r="J6" s="167">
        <f t="shared" ref="J6:J9" si="0">I6/H6</f>
        <v>0.67741935483870963</v>
      </c>
      <c r="BA6" s="221" t="s">
        <v>193</v>
      </c>
      <c r="BB6" s="123">
        <f>COUNTIF(E17:F23,BA6)</f>
        <v>0</v>
      </c>
      <c r="BC6" s="225" t="s">
        <v>263</v>
      </c>
    </row>
    <row r="7" spans="2:55" ht="48" customHeight="1" thickBot="1">
      <c r="B7" s="438" t="s">
        <v>243</v>
      </c>
      <c r="C7" s="516" t="s">
        <v>252</v>
      </c>
      <c r="D7" s="517"/>
      <c r="E7" s="164"/>
      <c r="G7" s="168" t="s">
        <v>199</v>
      </c>
      <c r="H7" s="169">
        <v>18</v>
      </c>
      <c r="I7" s="169">
        <f>SUM(F32:F35)</f>
        <v>13</v>
      </c>
      <c r="J7" s="170">
        <f t="shared" si="0"/>
        <v>0.72222222222222221</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13</v>
      </c>
      <c r="J9" s="170">
        <f t="shared" si="0"/>
        <v>0.68421052631578949</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4</v>
      </c>
      <c r="J11" s="170">
        <f t="shared" ref="J11:J12" si="1">I11/H11</f>
        <v>0.8</v>
      </c>
    </row>
    <row r="12" spans="2:55" ht="72.75" customHeight="1" thickBot="1">
      <c r="B12" s="219" t="s">
        <v>244</v>
      </c>
      <c r="C12" s="524" t="s">
        <v>246</v>
      </c>
      <c r="D12" s="525"/>
      <c r="E12" s="166"/>
      <c r="G12" s="198" t="s">
        <v>271</v>
      </c>
      <c r="H12" s="199">
        <f>SUM(H6:H11)</f>
        <v>117</v>
      </c>
      <c r="I12" s="199">
        <f>SUM(I6:I11)</f>
        <v>95</v>
      </c>
      <c r="J12" s="200">
        <f t="shared" si="1"/>
        <v>0.81196581196581197</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0.81196581196581197</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G20" s="493"/>
      <c r="H20" s="494"/>
      <c r="I20" s="494"/>
      <c r="J20" s="494"/>
      <c r="K20" s="495"/>
      <c r="V20" s="122"/>
      <c r="AY20" s="172" t="str">
        <f t="shared" si="2"/>
        <v>Yes</v>
      </c>
      <c r="BA20" s="222"/>
      <c r="BB20" s="122"/>
      <c r="BC20" s="122"/>
    </row>
    <row r="21" spans="2:58" s="172" customFormat="1" ht="45.95" customHeight="1">
      <c r="B21" s="439"/>
      <c r="C21" s="214">
        <v>5</v>
      </c>
      <c r="D21" s="215" t="s">
        <v>213</v>
      </c>
      <c r="E21" s="496" t="s">
        <v>266</v>
      </c>
      <c r="F21" s="497"/>
      <c r="G21" s="498"/>
      <c r="H21" s="499"/>
      <c r="I21" s="499"/>
      <c r="J21" s="499"/>
      <c r="K21" s="500"/>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450"/>
      <c r="H25" s="451"/>
      <c r="I25" s="451"/>
      <c r="J25" s="451"/>
      <c r="K25" s="452"/>
    </row>
    <row r="26" spans="2:58" ht="45.95" customHeight="1">
      <c r="B26" s="439"/>
      <c r="C26" s="127">
        <v>2</v>
      </c>
      <c r="D26" s="192" t="s">
        <v>219</v>
      </c>
      <c r="E26" s="140" t="s">
        <v>193</v>
      </c>
      <c r="F26" s="135">
        <f>IF(E26="Yes",5,0)</f>
        <v>0</v>
      </c>
      <c r="G26" s="453" t="s">
        <v>498</v>
      </c>
      <c r="H26" s="454"/>
      <c r="I26" s="454"/>
      <c r="J26" s="454"/>
      <c r="K26" s="455"/>
    </row>
    <row r="27" spans="2:58" ht="45.95" customHeight="1">
      <c r="B27" s="439"/>
      <c r="C27" s="143">
        <v>3</v>
      </c>
      <c r="D27" s="193" t="s">
        <v>216</v>
      </c>
      <c r="E27" s="177" t="s">
        <v>193</v>
      </c>
      <c r="F27" s="178">
        <f>IF(E27="Yes",5,0)</f>
        <v>0</v>
      </c>
      <c r="G27" s="444" t="s">
        <v>497</v>
      </c>
      <c r="H27" s="445"/>
      <c r="I27" s="445"/>
      <c r="J27" s="445"/>
      <c r="K27" s="446"/>
    </row>
    <row r="28" spans="2:58" ht="51.75" customHeight="1">
      <c r="B28" s="439"/>
      <c r="C28" s="127">
        <v>4</v>
      </c>
      <c r="D28" s="192" t="s">
        <v>217</v>
      </c>
      <c r="E28" s="140" t="s">
        <v>266</v>
      </c>
      <c r="F28" s="135">
        <f t="shared" ref="F28:F32" si="3">IF(E28="Yes",1,0)</f>
        <v>1</v>
      </c>
      <c r="G28" s="453"/>
      <c r="H28" s="454"/>
      <c r="I28" s="454"/>
      <c r="J28" s="454"/>
      <c r="K28" s="455"/>
    </row>
    <row r="29" spans="2:58" ht="50.25" customHeight="1">
      <c r="B29" s="439"/>
      <c r="C29" s="151">
        <v>5</v>
      </c>
      <c r="D29" s="193" t="s">
        <v>218</v>
      </c>
      <c r="E29" s="177" t="s">
        <v>266</v>
      </c>
      <c r="F29" s="178">
        <f t="shared" si="3"/>
        <v>1</v>
      </c>
      <c r="G29" s="465"/>
      <c r="H29" s="466"/>
      <c r="I29" s="466"/>
      <c r="J29" s="466"/>
      <c r="K29" s="467"/>
    </row>
    <row r="30" spans="2:58" ht="47.25" customHeight="1">
      <c r="B30" s="439"/>
      <c r="C30" s="131">
        <v>6</v>
      </c>
      <c r="D30" s="192" t="s">
        <v>220</v>
      </c>
      <c r="E30" s="140" t="s">
        <v>266</v>
      </c>
      <c r="F30" s="135">
        <f>IF(E30="Yes",7,0)</f>
        <v>7</v>
      </c>
      <c r="G30" s="453"/>
      <c r="H30" s="454"/>
      <c r="I30" s="454"/>
      <c r="J30" s="454"/>
      <c r="K30" s="455"/>
    </row>
    <row r="31" spans="2:58" ht="48.75" customHeight="1" thickBot="1">
      <c r="B31" s="440"/>
      <c r="C31" s="158">
        <v>7</v>
      </c>
      <c r="D31" s="194" t="s">
        <v>221</v>
      </c>
      <c r="E31" s="179" t="s">
        <v>266</v>
      </c>
      <c r="F31" s="180">
        <f>IF(E31="Yes",7,0)</f>
        <v>7</v>
      </c>
      <c r="G31" s="155"/>
      <c r="H31" s="156"/>
      <c r="I31" s="156"/>
      <c r="J31" s="156"/>
      <c r="K31" s="157"/>
    </row>
    <row r="32" spans="2:58" ht="58.5" customHeight="1">
      <c r="B32" s="438" t="s">
        <v>257</v>
      </c>
      <c r="C32" s="227">
        <v>1</v>
      </c>
      <c r="D32" s="206" t="s">
        <v>222</v>
      </c>
      <c r="E32" s="181" t="s">
        <v>266</v>
      </c>
      <c r="F32" s="182">
        <f t="shared" si="3"/>
        <v>1</v>
      </c>
      <c r="G32" s="471"/>
      <c r="H32" s="472"/>
      <c r="I32" s="472"/>
      <c r="J32" s="472"/>
      <c r="K32" s="473"/>
    </row>
    <row r="33" spans="2:11" ht="57" customHeight="1">
      <c r="B33" s="439"/>
      <c r="C33" s="143">
        <v>2</v>
      </c>
      <c r="D33" s="203" t="s">
        <v>223</v>
      </c>
      <c r="E33" s="177" t="s">
        <v>266</v>
      </c>
      <c r="F33" s="178">
        <f>IF(E33="Yes",5,0)</f>
        <v>5</v>
      </c>
      <c r="G33" s="444"/>
      <c r="H33" s="445"/>
      <c r="I33" s="445"/>
      <c r="J33" s="445"/>
      <c r="K33" s="446"/>
    </row>
    <row r="34" spans="2:11" ht="57" customHeight="1">
      <c r="B34" s="439"/>
      <c r="C34" s="131">
        <v>3</v>
      </c>
      <c r="D34" s="202" t="s">
        <v>224</v>
      </c>
      <c r="E34" s="140" t="s">
        <v>193</v>
      </c>
      <c r="F34" s="135">
        <f>IF(E34="Yes",5,0)</f>
        <v>0</v>
      </c>
      <c r="G34" s="444" t="s">
        <v>499</v>
      </c>
      <c r="H34" s="445"/>
      <c r="I34" s="445"/>
      <c r="J34" s="445"/>
      <c r="K34" s="446"/>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195"/>
      <c r="H37" s="196"/>
      <c r="I37" s="196"/>
      <c r="J37" s="196"/>
      <c r="K37" s="197"/>
    </row>
    <row r="38" spans="2:11" ht="50.25"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266</v>
      </c>
      <c r="F39" s="178">
        <f>IF(OR(E39="Yes",E39="NA"),7,0)</f>
        <v>7</v>
      </c>
      <c r="G39" s="195"/>
      <c r="H39" s="196"/>
      <c r="I39" s="196"/>
      <c r="J39" s="196"/>
      <c r="K39" s="19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462"/>
      <c r="H41" s="463"/>
      <c r="I41" s="463"/>
      <c r="J41" s="463"/>
      <c r="K41" s="464"/>
    </row>
    <row r="42" spans="2:11" ht="47.25" customHeight="1">
      <c r="B42" s="439"/>
      <c r="C42" s="127">
        <v>2</v>
      </c>
      <c r="D42" s="202" t="s">
        <v>237</v>
      </c>
      <c r="E42" s="140" t="s">
        <v>193</v>
      </c>
      <c r="F42" s="135">
        <f>IF(E42="Yes",5,0)</f>
        <v>0</v>
      </c>
      <c r="G42" s="453" t="s">
        <v>502</v>
      </c>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193</v>
      </c>
      <c r="F44" s="135">
        <f>IF(E44="Yes",1,0)</f>
        <v>0</v>
      </c>
      <c r="G44" s="453" t="s">
        <v>500</v>
      </c>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96"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315</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193</v>
      </c>
      <c r="F53" s="190">
        <f>IF(E53="Yes",1,0)</f>
        <v>0</v>
      </c>
      <c r="G53" s="444" t="s">
        <v>501</v>
      </c>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6">
    <mergeCell ref="G20:K20"/>
    <mergeCell ref="I14:J14"/>
    <mergeCell ref="B1:D2"/>
    <mergeCell ref="C3:D3"/>
    <mergeCell ref="C4:D4"/>
    <mergeCell ref="H4:J4"/>
    <mergeCell ref="C5:D5"/>
    <mergeCell ref="B7:B9"/>
    <mergeCell ref="C7:D7"/>
    <mergeCell ref="C8:D9"/>
    <mergeCell ref="C11:D11"/>
    <mergeCell ref="C12:D12"/>
    <mergeCell ref="C13:D13"/>
    <mergeCell ref="C14:D14"/>
    <mergeCell ref="G14:H14"/>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G23:K23"/>
    <mergeCell ref="B24:D24"/>
    <mergeCell ref="G24:K24"/>
    <mergeCell ref="B25:B31"/>
    <mergeCell ref="G25:K25"/>
    <mergeCell ref="G26:K26"/>
    <mergeCell ref="G27:K27"/>
    <mergeCell ref="G28:K28"/>
    <mergeCell ref="G30:K30"/>
    <mergeCell ref="G29:K29"/>
    <mergeCell ref="B41:B45"/>
    <mergeCell ref="G42:K42"/>
    <mergeCell ref="G43:K43"/>
    <mergeCell ref="B32:B35"/>
    <mergeCell ref="G32:K32"/>
    <mergeCell ref="G33:K33"/>
    <mergeCell ref="G34:K34"/>
    <mergeCell ref="G35:K35"/>
    <mergeCell ref="G44:K44"/>
    <mergeCell ref="G45:K45"/>
    <mergeCell ref="B36:B40"/>
    <mergeCell ref="G36:K36"/>
    <mergeCell ref="G38:K38"/>
    <mergeCell ref="G40:K40"/>
    <mergeCell ref="G41:K41"/>
    <mergeCell ref="B46:B48"/>
    <mergeCell ref="G46:K46"/>
    <mergeCell ref="G47:K47"/>
    <mergeCell ref="G48:K48"/>
    <mergeCell ref="B49:B53"/>
    <mergeCell ref="G49:K49"/>
    <mergeCell ref="G50:K50"/>
    <mergeCell ref="G51:K51"/>
    <mergeCell ref="G52:K52"/>
    <mergeCell ref="G53:K53"/>
  </mergeCells>
  <conditionalFormatting sqref="E17:E23">
    <cfRule type="notContainsText" dxfId="111" priority="9" operator="notContains" text="YES">
      <formula>ISERROR(SEARCH("YES",E17))</formula>
    </cfRule>
  </conditionalFormatting>
  <conditionalFormatting sqref="E43:E53">
    <cfRule type="containsText" dxfId="110" priority="7" operator="containsText" text="No">
      <formula>NOT(ISERROR(SEARCH("No",E43)))</formula>
    </cfRule>
  </conditionalFormatting>
  <conditionalFormatting sqref="E25:F42">
    <cfRule type="containsText" dxfId="109" priority="8" operator="containsText" text="No">
      <formula>NOT(ISERROR(SEARCH("No",E25)))</formula>
    </cfRule>
  </conditionalFormatting>
  <conditionalFormatting sqref="H4:J4">
    <cfRule type="cellIs" dxfId="108" priority="1" operator="equal">
      <formula>"NO PASA"</formula>
    </cfRule>
    <cfRule type="cellIs" dxfId="107" priority="2" operator="equal">
      <formula>"NO PASA"</formula>
    </cfRule>
    <cfRule type="cellIs" dxfId="106" priority="3" operator="equal">
      <formula>"PASA"</formula>
    </cfRule>
    <cfRule type="cellIs" dxfId="105" priority="4" operator="equal">
      <formula>"PASA"</formula>
    </cfRule>
    <cfRule type="cellIs" dxfId="104" priority="5" operator="equal">
      <formula>"NO PASA"</formula>
    </cfRule>
    <cfRule type="containsText" dxfId="103" priority="6" operator="containsText" text="PASA">
      <formula>NOT(ISERROR(SEARCH("PASA",H4)))</formula>
    </cfRule>
    <cfRule type="cellIs" dxfId="102" priority="13" operator="equal">
      <formula>$BC$7</formula>
    </cfRule>
    <cfRule type="cellIs" dxfId="101" priority="14" operator="equal">
      <formula>$BC$6</formula>
    </cfRule>
    <cfRule type="cellIs" dxfId="100" priority="15" operator="equal">
      <formula>$BC$4</formula>
    </cfRule>
  </conditionalFormatting>
  <conditionalFormatting sqref="I14">
    <cfRule type="cellIs" dxfId="99" priority="10" operator="greaterThanOrEqual">
      <formula>0.9</formula>
    </cfRule>
    <cfRule type="cellIs" dxfId="98" priority="11" operator="between">
      <formula>0.71</formula>
      <formula>0.9</formula>
    </cfRule>
    <cfRule type="cellIs" dxfId="97" priority="12" operator="lessThan">
      <formula>0.71</formula>
    </cfRule>
  </conditionalFormatting>
  <dataValidations count="3">
    <dataValidation type="list" allowBlank="1" showInputMessage="1" showErrorMessage="1" sqref="E38:E39 E50:E51" xr:uid="{00000000-0002-0000-1A00-000000000000}">
      <formula1>"Yes,No,NA"</formula1>
    </dataValidation>
    <dataValidation type="list" allowBlank="1" showInputMessage="1" showErrorMessage="1" sqref="E52:E53 E25:E37 E40:E49" xr:uid="{00000000-0002-0000-1A00-000001000000}">
      <formula1>"Yes,No"</formula1>
    </dataValidation>
    <dataValidation type="list" allowBlank="1" showInputMessage="1" showErrorMessage="1" sqref="E17:E23" xr:uid="{00000000-0002-0000-1A00-000002000000}">
      <formula1>"Yes,No,Cured in Moment"</formula1>
    </dataValidation>
  </dataValidation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4FABC"/>
  </sheetPr>
  <dimension ref="B1:H103"/>
  <sheetViews>
    <sheetView zoomScale="50" zoomScaleNormal="50" workbookViewId="0">
      <selection activeCell="C10" sqref="C10:D10"/>
    </sheetView>
  </sheetViews>
  <sheetFormatPr baseColWidth="10" defaultColWidth="8.85546875" defaultRowHeight="18"/>
  <cols>
    <col min="1" max="1" width="4.42578125" style="124" customWidth="1"/>
    <col min="2" max="2" width="40.140625" style="122"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84.75" customHeight="1">
      <c r="B7" s="293" t="s">
        <v>393</v>
      </c>
      <c r="C7" s="131" t="s">
        <v>384</v>
      </c>
      <c r="D7" s="284">
        <v>46295</v>
      </c>
      <c r="E7" s="130"/>
      <c r="F7" s="134"/>
    </row>
    <row r="8" spans="2:8" ht="63.75" customHeight="1">
      <c r="B8" s="293" t="s">
        <v>503</v>
      </c>
      <c r="C8" s="131" t="s">
        <v>384</v>
      </c>
      <c r="D8" s="284">
        <v>46295</v>
      </c>
      <c r="E8" s="127"/>
      <c r="F8" s="135"/>
    </row>
    <row r="9" spans="2:8" ht="111.75" customHeight="1">
      <c r="B9" s="293" t="s">
        <v>504</v>
      </c>
      <c r="C9" s="131" t="s">
        <v>384</v>
      </c>
      <c r="D9" s="284">
        <v>46295</v>
      </c>
      <c r="E9" s="127"/>
      <c r="F9" s="136"/>
    </row>
    <row r="10" spans="2:8" ht="74.25" customHeight="1">
      <c r="B10" s="293" t="s">
        <v>505</v>
      </c>
      <c r="C10" s="131" t="s">
        <v>384</v>
      </c>
      <c r="D10" s="284">
        <v>46295</v>
      </c>
      <c r="E10" s="131"/>
      <c r="F10" s="136"/>
    </row>
    <row r="11" spans="2:8" ht="77.25" customHeight="1">
      <c r="B11" s="293"/>
      <c r="C11" s="131"/>
      <c r="D11" s="307"/>
      <c r="E11" s="131"/>
      <c r="F11" s="136"/>
    </row>
    <row r="12" spans="2:8" ht="44.1" customHeight="1">
      <c r="B12" s="293"/>
      <c r="C12" s="131"/>
      <c r="D12" s="131"/>
      <c r="E12" s="131"/>
      <c r="F12" s="136"/>
    </row>
    <row r="13" spans="2:8" s="126" customFormat="1" ht="33" customHeight="1">
      <c r="B13" s="293"/>
      <c r="C13" s="131"/>
      <c r="D13" s="131"/>
      <c r="E13" s="131"/>
      <c r="F13" s="136"/>
    </row>
    <row r="14" spans="2:8" ht="34.5" customHeight="1">
      <c r="B14" s="293"/>
      <c r="C14" s="131"/>
      <c r="D14" s="131"/>
      <c r="E14" s="131"/>
      <c r="F14" s="136"/>
    </row>
    <row r="15" spans="2:8" ht="39.950000000000003" customHeight="1">
      <c r="B15" s="141"/>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268</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2:E2"/>
    <mergeCell ref="B3:F3"/>
    <mergeCell ref="B4:F4"/>
    <mergeCell ref="B5:B6"/>
    <mergeCell ref="C5:C6"/>
    <mergeCell ref="D5:D6"/>
    <mergeCell ref="E5:E6"/>
    <mergeCell ref="F5:F6"/>
    <mergeCell ref="B18:F18"/>
    <mergeCell ref="B19:F19"/>
    <mergeCell ref="B20:B21"/>
    <mergeCell ref="C20:C21"/>
    <mergeCell ref="D20:D21"/>
    <mergeCell ref="E20:E21"/>
    <mergeCell ref="F20:F21"/>
    <mergeCell ref="B32:F32"/>
    <mergeCell ref="B33:F33"/>
    <mergeCell ref="B34:B35"/>
    <mergeCell ref="C34:C35"/>
    <mergeCell ref="D34:D35"/>
    <mergeCell ref="E34:E35"/>
    <mergeCell ref="F34:F35"/>
  </mergeCells>
  <conditionalFormatting sqref="F31">
    <cfRule type="expression" dxfId="96" priority="1" stopIfTrue="1">
      <formula>IF($E31="NA",TRUE,FALSE)</formula>
    </cfRule>
  </conditionalFormatting>
  <dataValidations count="3">
    <dataValidation type="list" allowBlank="1" showInputMessage="1" showErrorMessage="1" sqref="E31" xr:uid="{00000000-0002-0000-1B00-000000000000}">
      <formula1>"Yes,No,NA"</formula1>
    </dataValidation>
    <dataValidation type="list" allowBlank="1" showInputMessage="1" showErrorMessage="1" sqref="E17" xr:uid="{00000000-0002-0000-1B00-000001000000}">
      <formula1>"Yes,No"</formula1>
    </dataValidation>
    <dataValidation type="list" allowBlank="1" showInputMessage="1" showErrorMessage="1" sqref="E5:E6 E20:E21 E34:E35" xr:uid="{00000000-0002-0000-1B00-000002000000}">
      <formula1>"Yes,No,Cured in Moment"</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1" tint="0.34998626667073579"/>
  </sheetPr>
  <dimension ref="B1:BF56"/>
  <sheetViews>
    <sheetView zoomScale="60" zoomScaleNormal="60" workbookViewId="0">
      <selection activeCell="E2" sqref="E2"/>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9.5703125" style="124" bestFit="1"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60.75" customHeight="1" thickBot="1">
      <c r="B3" s="210" t="s">
        <v>208</v>
      </c>
      <c r="C3" s="546" t="s">
        <v>330</v>
      </c>
      <c r="D3" s="547"/>
      <c r="E3" s="161"/>
      <c r="G3" s="220"/>
      <c r="H3" s="220"/>
      <c r="I3" s="220"/>
      <c r="J3" s="220"/>
    </row>
    <row r="4" spans="2:55" ht="114" customHeight="1" thickBot="1">
      <c r="B4" s="211" t="s">
        <v>275</v>
      </c>
      <c r="C4" s="509" t="s">
        <v>363</v>
      </c>
      <c r="D4" s="510"/>
      <c r="E4" s="150"/>
      <c r="G4" s="186" t="s">
        <v>11</v>
      </c>
      <c r="H4" s="511" t="str">
        <f>IF(COUNTIF(BB6,"0")&gt;0,"PASA","NO PASA")</f>
        <v>PASA</v>
      </c>
      <c r="I4" s="512"/>
      <c r="J4" s="513"/>
      <c r="BA4" s="221" t="s">
        <v>174</v>
      </c>
      <c r="BB4" s="123">
        <f>COUNTIF(E17:F23,BA4)</f>
        <v>0</v>
      </c>
      <c r="BC4" s="225" t="s">
        <v>262</v>
      </c>
    </row>
    <row r="5" spans="2:55" ht="55.5" customHeight="1" thickBot="1">
      <c r="B5" s="236" t="s">
        <v>203</v>
      </c>
      <c r="C5" s="514">
        <v>46269</v>
      </c>
      <c r="D5" s="579"/>
      <c r="G5" s="228" t="s">
        <v>198</v>
      </c>
      <c r="H5" s="185" t="s">
        <v>3</v>
      </c>
      <c r="I5" s="229" t="s">
        <v>4</v>
      </c>
      <c r="J5" s="230" t="s">
        <v>5</v>
      </c>
      <c r="BC5" s="225"/>
    </row>
    <row r="6" spans="2:55" ht="48" customHeight="1" thickBot="1">
      <c r="C6" s="122"/>
      <c r="E6" s="128"/>
      <c r="G6" s="187" t="s">
        <v>254</v>
      </c>
      <c r="H6" s="160">
        <v>31</v>
      </c>
      <c r="I6" s="160">
        <f>SUM(F25:F31)</f>
        <v>21</v>
      </c>
      <c r="J6" s="167">
        <f t="shared" ref="J6:J9" si="0">I6/H6</f>
        <v>0.67741935483870963</v>
      </c>
      <c r="BA6" s="221" t="s">
        <v>193</v>
      </c>
      <c r="BB6" s="123">
        <f>COUNTIF(E17:F23,BA6)</f>
        <v>0</v>
      </c>
      <c r="BC6" s="225" t="s">
        <v>263</v>
      </c>
    </row>
    <row r="7" spans="2:55" ht="48" customHeight="1" thickBot="1">
      <c r="B7" s="438" t="s">
        <v>243</v>
      </c>
      <c r="C7" s="516" t="s">
        <v>252</v>
      </c>
      <c r="D7" s="517"/>
      <c r="E7" s="164"/>
      <c r="G7" s="168" t="s">
        <v>199</v>
      </c>
      <c r="H7" s="169">
        <v>18</v>
      </c>
      <c r="I7" s="169">
        <f>SUM(F32:F35)</f>
        <v>18</v>
      </c>
      <c r="J7" s="170">
        <f t="shared" si="0"/>
        <v>1</v>
      </c>
      <c r="BA7" s="224" t="s">
        <v>261</v>
      </c>
      <c r="BB7" s="123">
        <f>COUNTIF(E17:F23,BA7)</f>
        <v>0</v>
      </c>
      <c r="BC7" s="225" t="s">
        <v>264</v>
      </c>
    </row>
    <row r="8" spans="2:55" ht="48" customHeight="1" thickBot="1">
      <c r="B8" s="439"/>
      <c r="C8" s="518" t="s">
        <v>253</v>
      </c>
      <c r="D8" s="519"/>
      <c r="E8" s="165"/>
      <c r="G8" s="187" t="s">
        <v>200</v>
      </c>
      <c r="H8" s="160">
        <v>31</v>
      </c>
      <c r="I8" s="160">
        <f>SUM(F36:F40)</f>
        <v>19</v>
      </c>
      <c r="J8" s="167">
        <f t="shared" si="0"/>
        <v>0.61290322580645162</v>
      </c>
      <c r="R8" s="237"/>
    </row>
    <row r="9" spans="2:55" ht="63" customHeight="1" thickBot="1">
      <c r="B9" s="440"/>
      <c r="C9" s="520"/>
      <c r="D9" s="521"/>
      <c r="E9" s="165"/>
      <c r="G9" s="168" t="s">
        <v>255</v>
      </c>
      <c r="H9" s="169">
        <v>19</v>
      </c>
      <c r="I9" s="169">
        <f>SUM(F41:F45)</f>
        <v>18</v>
      </c>
      <c r="J9" s="170">
        <f t="shared" si="0"/>
        <v>0.94736842105263153</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5</v>
      </c>
      <c r="J11" s="170">
        <f t="shared" ref="J11:J12" si="1">I11/H11</f>
        <v>1</v>
      </c>
    </row>
    <row r="12" spans="2:55" ht="72.75" customHeight="1" thickBot="1">
      <c r="B12" s="219" t="s">
        <v>244</v>
      </c>
      <c r="C12" s="524" t="s">
        <v>246</v>
      </c>
      <c r="D12" s="525"/>
      <c r="E12" s="166"/>
      <c r="G12" s="198" t="s">
        <v>271</v>
      </c>
      <c r="H12" s="199">
        <f>SUM(H6:H11)</f>
        <v>117</v>
      </c>
      <c r="I12" s="199">
        <f>SUM(I6:I11)</f>
        <v>94</v>
      </c>
      <c r="J12" s="200">
        <f t="shared" si="1"/>
        <v>0.80341880341880345</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0.80341880341880345</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G20" s="435"/>
      <c r="H20" s="436"/>
      <c r="I20" s="436"/>
      <c r="J20" s="436"/>
      <c r="K20" s="437"/>
      <c r="V20" s="122"/>
      <c r="AY20" s="172" t="str">
        <f t="shared" si="2"/>
        <v>Yes</v>
      </c>
      <c r="BA20" s="222"/>
      <c r="BB20" s="122"/>
      <c r="BC20" s="122"/>
    </row>
    <row r="21" spans="2:58" s="172" customFormat="1" ht="45.95" customHeight="1">
      <c r="B21" s="439"/>
      <c r="C21" s="214">
        <v>5</v>
      </c>
      <c r="D21" s="215" t="s">
        <v>213</v>
      </c>
      <c r="E21" s="496" t="s">
        <v>266</v>
      </c>
      <c r="F21" s="497"/>
      <c r="G21" s="493"/>
      <c r="H21" s="494"/>
      <c r="I21" s="494"/>
      <c r="J21" s="494"/>
      <c r="K21" s="495"/>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450"/>
      <c r="H25" s="451"/>
      <c r="I25" s="451"/>
      <c r="J25" s="451"/>
      <c r="K25" s="452"/>
    </row>
    <row r="26" spans="2:58" ht="45.95" customHeight="1">
      <c r="B26" s="439"/>
      <c r="C26" s="127">
        <v>2</v>
      </c>
      <c r="D26" s="192" t="s">
        <v>219</v>
      </c>
      <c r="E26" s="140" t="s">
        <v>193</v>
      </c>
      <c r="F26" s="135">
        <f>IF(E26="Yes",5,0)</f>
        <v>0</v>
      </c>
      <c r="G26" s="601" t="s">
        <v>420</v>
      </c>
      <c r="H26" s="601"/>
      <c r="I26" s="601"/>
      <c r="J26" s="601"/>
      <c r="K26" s="601"/>
    </row>
    <row r="27" spans="2:58" ht="45.95" customHeight="1">
      <c r="B27" s="439"/>
      <c r="C27" s="143">
        <v>3</v>
      </c>
      <c r="D27" s="193" t="s">
        <v>216</v>
      </c>
      <c r="E27" s="177" t="s">
        <v>193</v>
      </c>
      <c r="F27" s="178">
        <f>IF(E27="Yes",5,0)</f>
        <v>0</v>
      </c>
      <c r="G27" s="602" t="s">
        <v>421</v>
      </c>
      <c r="H27" s="602"/>
      <c r="I27" s="602"/>
      <c r="J27" s="602"/>
      <c r="K27" s="602"/>
    </row>
    <row r="28" spans="2:58" ht="51.75" customHeight="1">
      <c r="B28" s="439"/>
      <c r="C28" s="127">
        <v>4</v>
      </c>
      <c r="D28" s="192" t="s">
        <v>217</v>
      </c>
      <c r="E28" s="140" t="s">
        <v>266</v>
      </c>
      <c r="F28" s="135">
        <f t="shared" ref="F28:F32" si="3">IF(E28="Yes",1,0)</f>
        <v>1</v>
      </c>
      <c r="G28" s="453"/>
      <c r="H28" s="454"/>
      <c r="I28" s="454"/>
      <c r="J28" s="454"/>
      <c r="K28" s="455"/>
    </row>
    <row r="29" spans="2:58" ht="50.25" customHeight="1">
      <c r="B29" s="439"/>
      <c r="C29" s="151">
        <v>5</v>
      </c>
      <c r="D29" s="193" t="s">
        <v>218</v>
      </c>
      <c r="E29" s="177" t="s">
        <v>266</v>
      </c>
      <c r="F29" s="178">
        <f t="shared" si="3"/>
        <v>1</v>
      </c>
      <c r="G29" s="603"/>
      <c r="H29" s="604"/>
      <c r="I29" s="604"/>
      <c r="J29" s="604"/>
      <c r="K29" s="605"/>
    </row>
    <row r="30" spans="2:58" ht="47.25" customHeight="1">
      <c r="B30" s="439"/>
      <c r="C30" s="131">
        <v>6</v>
      </c>
      <c r="D30" s="192" t="s">
        <v>220</v>
      </c>
      <c r="E30" s="140" t="s">
        <v>266</v>
      </c>
      <c r="F30" s="135">
        <f>IF(E30="Yes",7,0)</f>
        <v>7</v>
      </c>
      <c r="G30" s="435"/>
      <c r="H30" s="436"/>
      <c r="I30" s="436"/>
      <c r="J30" s="436"/>
      <c r="K30" s="437"/>
    </row>
    <row r="31" spans="2:58" ht="48.75" customHeight="1" thickBot="1">
      <c r="B31" s="440"/>
      <c r="C31" s="158">
        <v>7</v>
      </c>
      <c r="D31" s="194" t="s">
        <v>221</v>
      </c>
      <c r="E31" s="179" t="s">
        <v>266</v>
      </c>
      <c r="F31" s="180">
        <f>IF(E31="Yes",7,0)</f>
        <v>7</v>
      </c>
      <c r="G31" s="543"/>
      <c r="H31" s="544"/>
      <c r="I31" s="544"/>
      <c r="J31" s="544"/>
      <c r="K31" s="545"/>
    </row>
    <row r="32" spans="2:58" ht="48.75" customHeight="1">
      <c r="B32" s="438" t="s">
        <v>257</v>
      </c>
      <c r="C32" s="227">
        <v>1</v>
      </c>
      <c r="D32" s="206" t="s">
        <v>222</v>
      </c>
      <c r="E32" s="181" t="s">
        <v>266</v>
      </c>
      <c r="F32" s="182">
        <f t="shared" si="3"/>
        <v>1</v>
      </c>
      <c r="G32" s="456"/>
      <c r="H32" s="457"/>
      <c r="I32" s="457"/>
      <c r="J32" s="457"/>
      <c r="K32" s="458"/>
    </row>
    <row r="33" spans="2:11" ht="45.95" customHeight="1">
      <c r="B33" s="439"/>
      <c r="C33" s="143">
        <v>2</v>
      </c>
      <c r="D33" s="203" t="s">
        <v>223</v>
      </c>
      <c r="E33" s="177" t="s">
        <v>266</v>
      </c>
      <c r="F33" s="178">
        <f>IF(E33="Yes",5,0)</f>
        <v>5</v>
      </c>
      <c r="G33" s="444"/>
      <c r="H33" s="445"/>
      <c r="I33" s="445"/>
      <c r="J33" s="445"/>
      <c r="K33" s="446"/>
    </row>
    <row r="34" spans="2:11" ht="45.95" customHeight="1">
      <c r="B34" s="439"/>
      <c r="C34" s="131">
        <v>3</v>
      </c>
      <c r="D34" s="202" t="s">
        <v>224</v>
      </c>
      <c r="E34" s="140" t="s">
        <v>266</v>
      </c>
      <c r="F34" s="135">
        <f>IF(E34="Yes",5,0)</f>
        <v>5</v>
      </c>
      <c r="G34" s="453"/>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193</v>
      </c>
      <c r="F37" s="178">
        <f>IF(E37="Yes",5,0)</f>
        <v>0</v>
      </c>
      <c r="G37" s="465" t="s">
        <v>422</v>
      </c>
      <c r="H37" s="466"/>
      <c r="I37" s="466"/>
      <c r="J37" s="466"/>
      <c r="K37" s="467"/>
    </row>
    <row r="38" spans="2:11" ht="50.25" customHeight="1">
      <c r="B38" s="439"/>
      <c r="C38" s="127">
        <v>3</v>
      </c>
      <c r="D38" s="202" t="s">
        <v>228</v>
      </c>
      <c r="E38" s="140" t="s">
        <v>315</v>
      </c>
      <c r="F38" s="135">
        <f>IF(OR(E38="Yes",E38="NA"),7,0)</f>
        <v>7</v>
      </c>
      <c r="G38" s="474"/>
      <c r="H38" s="475"/>
      <c r="I38" s="475"/>
      <c r="J38" s="475"/>
      <c r="K38" s="476"/>
    </row>
    <row r="39" spans="2:11" ht="68.25" customHeight="1">
      <c r="B39" s="439"/>
      <c r="C39" s="174">
        <v>4</v>
      </c>
      <c r="D39" s="203" t="s">
        <v>273</v>
      </c>
      <c r="E39" s="177" t="s">
        <v>193</v>
      </c>
      <c r="F39" s="178">
        <f>IF(OR(E39="Yes",E39="NA"),7,0)</f>
        <v>0</v>
      </c>
      <c r="G39" s="465" t="s">
        <v>423</v>
      </c>
      <c r="H39" s="466"/>
      <c r="I39" s="466"/>
      <c r="J39" s="466"/>
      <c r="K39" s="46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149"/>
      <c r="H41" s="147"/>
      <c r="I41" s="147"/>
      <c r="J41" s="147"/>
      <c r="K41" s="148"/>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193</v>
      </c>
      <c r="F44" s="135">
        <f>IF(E44="Yes",1,0)</f>
        <v>0</v>
      </c>
      <c r="G44" s="601" t="s">
        <v>424</v>
      </c>
      <c r="H44" s="601"/>
      <c r="I44" s="601"/>
      <c r="J44" s="601"/>
      <c r="K44" s="601"/>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266</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266</v>
      </c>
      <c r="F53" s="190">
        <f>IF(E53="Yes",1,0)</f>
        <v>1</v>
      </c>
      <c r="G53" s="444"/>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8">
    <mergeCell ref="I14:J14"/>
    <mergeCell ref="B1:D2"/>
    <mergeCell ref="C3:D3"/>
    <mergeCell ref="C4:D4"/>
    <mergeCell ref="H4:J4"/>
    <mergeCell ref="C5:D5"/>
    <mergeCell ref="B7:B9"/>
    <mergeCell ref="C7:D7"/>
    <mergeCell ref="C8:D9"/>
    <mergeCell ref="C11:D11"/>
    <mergeCell ref="C12:D12"/>
    <mergeCell ref="C13:D13"/>
    <mergeCell ref="C14:D14"/>
    <mergeCell ref="G14:H14"/>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G23:K23"/>
    <mergeCell ref="B36:B40"/>
    <mergeCell ref="G36:K36"/>
    <mergeCell ref="G38:K38"/>
    <mergeCell ref="G40:K40"/>
    <mergeCell ref="B24:D24"/>
    <mergeCell ref="G24:K24"/>
    <mergeCell ref="B25:B31"/>
    <mergeCell ref="G25:K25"/>
    <mergeCell ref="G26:K26"/>
    <mergeCell ref="G27:K27"/>
    <mergeCell ref="G28:K28"/>
    <mergeCell ref="G29:K29"/>
    <mergeCell ref="G30:K30"/>
    <mergeCell ref="G31:K31"/>
    <mergeCell ref="G37:K37"/>
    <mergeCell ref="B49:B53"/>
    <mergeCell ref="G49:K49"/>
    <mergeCell ref="G50:K50"/>
    <mergeCell ref="G51:K51"/>
    <mergeCell ref="G52:K52"/>
    <mergeCell ref="G53:K53"/>
    <mergeCell ref="G20:K20"/>
    <mergeCell ref="B46:B48"/>
    <mergeCell ref="G46:K46"/>
    <mergeCell ref="G47:K47"/>
    <mergeCell ref="G48:K48"/>
    <mergeCell ref="B41:B45"/>
    <mergeCell ref="G42:K42"/>
    <mergeCell ref="G43:K43"/>
    <mergeCell ref="B32:B35"/>
    <mergeCell ref="G32:K32"/>
    <mergeCell ref="G33:K33"/>
    <mergeCell ref="G34:K34"/>
    <mergeCell ref="G35:K35"/>
    <mergeCell ref="G44:K44"/>
    <mergeCell ref="G45:K45"/>
    <mergeCell ref="G39:K39"/>
  </mergeCells>
  <conditionalFormatting sqref="E17:E23">
    <cfRule type="notContainsText" dxfId="95" priority="9" operator="notContains" text="YES">
      <formula>ISERROR(SEARCH("YES",E17))</formula>
    </cfRule>
  </conditionalFormatting>
  <conditionalFormatting sqref="E43:E53">
    <cfRule type="containsText" dxfId="94" priority="7" operator="containsText" text="No">
      <formula>NOT(ISERROR(SEARCH("No",E43)))</formula>
    </cfRule>
  </conditionalFormatting>
  <conditionalFormatting sqref="E25:F42">
    <cfRule type="containsText" dxfId="93" priority="8" operator="containsText" text="No">
      <formula>NOT(ISERROR(SEARCH("No",E25)))</formula>
    </cfRule>
  </conditionalFormatting>
  <conditionalFormatting sqref="H4:J4">
    <cfRule type="cellIs" dxfId="92" priority="1" operator="equal">
      <formula>"NO PASA"</formula>
    </cfRule>
    <cfRule type="cellIs" dxfId="91" priority="2" operator="equal">
      <formula>"NO PASA"</formula>
    </cfRule>
    <cfRule type="cellIs" dxfId="90" priority="3" operator="equal">
      <formula>"PASA"</formula>
    </cfRule>
    <cfRule type="cellIs" dxfId="89" priority="4" operator="equal">
      <formula>"PASA"</formula>
    </cfRule>
    <cfRule type="cellIs" dxfId="88" priority="5" operator="equal">
      <formula>"NO PASA"</formula>
    </cfRule>
    <cfRule type="containsText" dxfId="87" priority="6" operator="containsText" text="PASA">
      <formula>NOT(ISERROR(SEARCH("PASA",H4)))</formula>
    </cfRule>
    <cfRule type="cellIs" dxfId="86" priority="13" operator="equal">
      <formula>$BC$7</formula>
    </cfRule>
    <cfRule type="cellIs" dxfId="85" priority="14" operator="equal">
      <formula>$BC$6</formula>
    </cfRule>
    <cfRule type="cellIs" dxfId="84" priority="15" operator="equal">
      <formula>$BC$4</formula>
    </cfRule>
  </conditionalFormatting>
  <conditionalFormatting sqref="I14">
    <cfRule type="cellIs" dxfId="83" priority="10" operator="greaterThanOrEqual">
      <formula>0.9</formula>
    </cfRule>
    <cfRule type="cellIs" dxfId="82" priority="11" operator="between">
      <formula>0.71</formula>
      <formula>0.9</formula>
    </cfRule>
    <cfRule type="cellIs" dxfId="81" priority="12" operator="lessThan">
      <formula>0.71</formula>
    </cfRule>
  </conditionalFormatting>
  <dataValidations count="3">
    <dataValidation type="list" allowBlank="1" showInputMessage="1" showErrorMessage="1" sqref="E38:E39 E50:E51" xr:uid="{00000000-0002-0000-1C00-000000000000}">
      <formula1>"Yes,No,NA"</formula1>
    </dataValidation>
    <dataValidation type="list" allowBlank="1" showInputMessage="1" showErrorMessage="1" sqref="E52:E53 E25:E37 E40:E49" xr:uid="{00000000-0002-0000-1C00-000001000000}">
      <formula1>"Yes,No"</formula1>
    </dataValidation>
    <dataValidation type="list" allowBlank="1" showInputMessage="1" showErrorMessage="1" sqref="E17:E23" xr:uid="{00000000-0002-0000-1C00-000002000000}">
      <formula1>"Yes,No,Cured in Moment"</formula1>
    </dataValidation>
  </dataValidation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1" tint="0.34998626667073579"/>
  </sheetPr>
  <dimension ref="B1:H103"/>
  <sheetViews>
    <sheetView zoomScale="50" zoomScaleNormal="50" workbookViewId="0">
      <selection activeCell="D10" sqref="D10"/>
    </sheetView>
  </sheetViews>
  <sheetFormatPr baseColWidth="10" defaultColWidth="8.85546875" defaultRowHeight="18"/>
  <cols>
    <col min="1" max="1" width="4.42578125" style="124" customWidth="1"/>
    <col min="2" max="2" width="48.7109375" style="122" bestFit="1"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90.75" customHeight="1">
      <c r="B7" s="293" t="s">
        <v>425</v>
      </c>
      <c r="C7" s="130" t="s">
        <v>385</v>
      </c>
      <c r="D7" s="138" t="s">
        <v>387</v>
      </c>
      <c r="E7" s="130"/>
      <c r="F7" s="134"/>
    </row>
    <row r="8" spans="2:8" ht="113.25" customHeight="1">
      <c r="B8" s="311" t="s">
        <v>426</v>
      </c>
      <c r="C8" s="130" t="s">
        <v>385</v>
      </c>
      <c r="D8" s="138">
        <v>46295</v>
      </c>
      <c r="E8" s="127"/>
      <c r="F8" s="135"/>
    </row>
    <row r="9" spans="2:8" ht="81.75" customHeight="1">
      <c r="B9" s="302" t="s">
        <v>427</v>
      </c>
      <c r="C9" s="130" t="s">
        <v>385</v>
      </c>
      <c r="D9" s="284" t="s">
        <v>391</v>
      </c>
      <c r="E9" s="127"/>
      <c r="F9" s="136"/>
    </row>
    <row r="10" spans="2:8" ht="75.75" customHeight="1">
      <c r="B10" s="297" t="s">
        <v>428</v>
      </c>
      <c r="C10" s="130" t="s">
        <v>385</v>
      </c>
      <c r="D10" s="138">
        <v>46295</v>
      </c>
      <c r="E10" s="131"/>
      <c r="F10" s="136"/>
    </row>
    <row r="11" spans="2:8" ht="75.75" customHeight="1">
      <c r="B11" s="297"/>
      <c r="C11" s="130"/>
      <c r="D11" s="284"/>
      <c r="E11" s="131"/>
      <c r="F11" s="136"/>
    </row>
    <row r="12" spans="2:8" ht="44.1" customHeight="1">
      <c r="B12" s="297"/>
      <c r="C12" s="130"/>
      <c r="D12" s="131"/>
      <c r="E12" s="131"/>
      <c r="F12" s="136"/>
    </row>
    <row r="13" spans="2:8" s="126" customFormat="1" ht="30.95" customHeight="1">
      <c r="B13" s="297"/>
      <c r="C13" s="130"/>
      <c r="D13" s="131"/>
      <c r="E13" s="131"/>
      <c r="F13" s="136"/>
    </row>
    <row r="14" spans="2:8" ht="39.950000000000003" customHeight="1">
      <c r="B14" s="297"/>
      <c r="C14" s="130"/>
      <c r="D14" s="131"/>
      <c r="E14" s="131"/>
      <c r="F14" s="136"/>
    </row>
    <row r="15" spans="2:8" ht="39.950000000000003" customHeight="1">
      <c r="B15" s="299"/>
      <c r="C15" s="130"/>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316</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2:E2"/>
    <mergeCell ref="B3:F3"/>
    <mergeCell ref="B4:F4"/>
    <mergeCell ref="B5:B6"/>
    <mergeCell ref="C5:C6"/>
    <mergeCell ref="D5:D6"/>
    <mergeCell ref="E5:E6"/>
    <mergeCell ref="F5:F6"/>
    <mergeCell ref="B18:F18"/>
    <mergeCell ref="B19:F19"/>
    <mergeCell ref="B20:B21"/>
    <mergeCell ref="C20:C21"/>
    <mergeCell ref="D20:D21"/>
    <mergeCell ref="E20:E21"/>
    <mergeCell ref="F20:F21"/>
    <mergeCell ref="B32:F32"/>
    <mergeCell ref="B33:F33"/>
    <mergeCell ref="B34:B35"/>
    <mergeCell ref="C34:C35"/>
    <mergeCell ref="D34:D35"/>
    <mergeCell ref="E34:E35"/>
    <mergeCell ref="F34:F35"/>
  </mergeCells>
  <conditionalFormatting sqref="F31">
    <cfRule type="expression" dxfId="80" priority="1" stopIfTrue="1">
      <formula>IF($E31="NA",TRUE,FALSE)</formula>
    </cfRule>
  </conditionalFormatting>
  <dataValidations disablePrompts="1" count="3">
    <dataValidation type="list" allowBlank="1" showInputMessage="1" showErrorMessage="1" sqref="E31" xr:uid="{00000000-0002-0000-1D00-000000000000}">
      <formula1>"Yes,No,NA"</formula1>
    </dataValidation>
    <dataValidation type="list" allowBlank="1" showInputMessage="1" showErrorMessage="1" sqref="E17" xr:uid="{00000000-0002-0000-1D00-000001000000}">
      <formula1>"Yes,No"</formula1>
    </dataValidation>
    <dataValidation type="list" allowBlank="1" showInputMessage="1" showErrorMessage="1" sqref="E5:E6 E20:E21 E34:E35" xr:uid="{00000000-0002-0000-1D00-000002000000}">
      <formula1>"Yes,No,Cured in Moment"</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1" tint="0.499984740745262"/>
  </sheetPr>
  <dimension ref="B1:BF56"/>
  <sheetViews>
    <sheetView zoomScale="60" zoomScaleNormal="60" workbookViewId="0">
      <selection activeCell="G46" sqref="G46:K46"/>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9.5703125" style="124" bestFit="1"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60.75" customHeight="1" thickBot="1">
      <c r="B3" s="210" t="s">
        <v>208</v>
      </c>
      <c r="C3" s="546" t="s">
        <v>331</v>
      </c>
      <c r="D3" s="547"/>
      <c r="E3" s="161"/>
      <c r="G3" s="220"/>
      <c r="H3" s="220"/>
      <c r="I3" s="220"/>
      <c r="J3" s="220"/>
    </row>
    <row r="4" spans="2:55" ht="114" customHeight="1" thickBot="1">
      <c r="B4" s="211" t="s">
        <v>275</v>
      </c>
      <c r="C4" s="509" t="s">
        <v>364</v>
      </c>
      <c r="D4" s="510"/>
      <c r="E4" s="150"/>
      <c r="G4" s="186" t="s">
        <v>11</v>
      </c>
      <c r="H4" s="511" t="str">
        <f>IF(COUNTIF(BB6,"0")&gt;0,"PASA","NO PASA")</f>
        <v>PASA</v>
      </c>
      <c r="I4" s="512"/>
      <c r="J4" s="513"/>
      <c r="BA4" s="221" t="s">
        <v>174</v>
      </c>
      <c r="BB4" s="123">
        <f>COUNTIF(E17:F23,BA4)</f>
        <v>0</v>
      </c>
      <c r="BC4" s="225" t="s">
        <v>262</v>
      </c>
    </row>
    <row r="5" spans="2:55" ht="55.5" customHeight="1" thickBot="1">
      <c r="B5" s="236" t="s">
        <v>203</v>
      </c>
      <c r="C5" s="514">
        <v>46269</v>
      </c>
      <c r="D5" s="579"/>
      <c r="G5" s="228" t="s">
        <v>198</v>
      </c>
      <c r="H5" s="185" t="s">
        <v>3</v>
      </c>
      <c r="I5" s="229" t="s">
        <v>4</v>
      </c>
      <c r="J5" s="230" t="s">
        <v>5</v>
      </c>
      <c r="BC5" s="225"/>
    </row>
    <row r="6" spans="2:55" ht="48" customHeight="1" thickBot="1">
      <c r="C6" s="122"/>
      <c r="E6" s="128"/>
      <c r="G6" s="187" t="s">
        <v>254</v>
      </c>
      <c r="H6" s="160">
        <v>31</v>
      </c>
      <c r="I6" s="160">
        <f>SUM(F25:F31)</f>
        <v>29</v>
      </c>
      <c r="J6" s="167">
        <f t="shared" ref="J6:J9" si="0">I6/H6</f>
        <v>0.93548387096774188</v>
      </c>
      <c r="BA6" s="221" t="s">
        <v>193</v>
      </c>
      <c r="BB6" s="123">
        <f>COUNTIF(E17:F23,BA6)</f>
        <v>0</v>
      </c>
      <c r="BC6" s="225" t="s">
        <v>263</v>
      </c>
    </row>
    <row r="7" spans="2:55" ht="48" customHeight="1" thickBot="1">
      <c r="B7" s="438" t="s">
        <v>243</v>
      </c>
      <c r="C7" s="516" t="s">
        <v>252</v>
      </c>
      <c r="D7" s="517"/>
      <c r="E7" s="164"/>
      <c r="G7" s="168" t="s">
        <v>199</v>
      </c>
      <c r="H7" s="169">
        <v>18</v>
      </c>
      <c r="I7" s="169">
        <f>SUM(F32:F35)</f>
        <v>13</v>
      </c>
      <c r="J7" s="170">
        <f t="shared" si="0"/>
        <v>0.72222222222222221</v>
      </c>
      <c r="BA7" s="224" t="s">
        <v>261</v>
      </c>
      <c r="BB7" s="123">
        <f>COUNTIF(E17:F23,BA7)</f>
        <v>0</v>
      </c>
      <c r="BC7" s="225" t="s">
        <v>264</v>
      </c>
    </row>
    <row r="8" spans="2:55" ht="48" customHeight="1" thickBot="1">
      <c r="B8" s="439"/>
      <c r="C8" s="518" t="s">
        <v>253</v>
      </c>
      <c r="D8" s="519"/>
      <c r="E8" s="165"/>
      <c r="G8" s="187" t="s">
        <v>200</v>
      </c>
      <c r="H8" s="160">
        <v>31</v>
      </c>
      <c r="I8" s="160">
        <f>SUM(F36:F40)</f>
        <v>24</v>
      </c>
      <c r="J8" s="167">
        <f t="shared" si="0"/>
        <v>0.77419354838709675</v>
      </c>
      <c r="R8" s="237"/>
    </row>
    <row r="9" spans="2:55" ht="63" customHeight="1" thickBot="1">
      <c r="B9" s="440"/>
      <c r="C9" s="520"/>
      <c r="D9" s="521"/>
      <c r="E9" s="165"/>
      <c r="G9" s="168" t="s">
        <v>255</v>
      </c>
      <c r="H9" s="169">
        <v>19</v>
      </c>
      <c r="I9" s="169">
        <f>SUM(F41:F45)</f>
        <v>18</v>
      </c>
      <c r="J9" s="170">
        <f t="shared" si="0"/>
        <v>0.94736842105263153</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5</v>
      </c>
      <c r="J11" s="170">
        <f t="shared" ref="J11:J12" si="1">I11/H11</f>
        <v>1</v>
      </c>
    </row>
    <row r="12" spans="2:55" ht="72.75" customHeight="1" thickBot="1">
      <c r="B12" s="219" t="s">
        <v>244</v>
      </c>
      <c r="C12" s="524" t="s">
        <v>246</v>
      </c>
      <c r="D12" s="525"/>
      <c r="E12" s="166"/>
      <c r="G12" s="198" t="s">
        <v>271</v>
      </c>
      <c r="H12" s="199">
        <f>SUM(H6:H11)</f>
        <v>117</v>
      </c>
      <c r="I12" s="199">
        <f>SUM(I6:I11)</f>
        <v>102</v>
      </c>
      <c r="J12" s="200">
        <f t="shared" si="1"/>
        <v>0.87179487179487181</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0.87179487179487181</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K20" s="173"/>
      <c r="V20" s="122"/>
      <c r="AY20" s="172" t="str">
        <f t="shared" si="2"/>
        <v>Yes</v>
      </c>
      <c r="BA20" s="222"/>
      <c r="BB20" s="122"/>
      <c r="BC20" s="122"/>
    </row>
    <row r="21" spans="2:58" s="172" customFormat="1" ht="45.95" customHeight="1">
      <c r="B21" s="439"/>
      <c r="C21" s="214">
        <v>5</v>
      </c>
      <c r="D21" s="215" t="s">
        <v>213</v>
      </c>
      <c r="E21" s="496" t="s">
        <v>266</v>
      </c>
      <c r="F21" s="497"/>
      <c r="G21" s="493"/>
      <c r="H21" s="494"/>
      <c r="I21" s="494"/>
      <c r="J21" s="494"/>
      <c r="K21" s="495"/>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480"/>
      <c r="H25" s="481"/>
      <c r="I25" s="481"/>
      <c r="J25" s="481"/>
      <c r="K25" s="482"/>
    </row>
    <row r="26" spans="2:58" ht="45.95" customHeight="1">
      <c r="B26" s="439"/>
      <c r="C26" s="127">
        <v>2</v>
      </c>
      <c r="D26" s="192" t="s">
        <v>219</v>
      </c>
      <c r="E26" s="140" t="s">
        <v>266</v>
      </c>
      <c r="F26" s="135">
        <f>IF(E26="Yes",5,0)</f>
        <v>5</v>
      </c>
      <c r="G26" s="453"/>
      <c r="H26" s="454"/>
      <c r="I26" s="454"/>
      <c r="J26" s="454"/>
      <c r="K26" s="455"/>
    </row>
    <row r="27" spans="2:58" ht="45.95" customHeight="1">
      <c r="B27" s="439"/>
      <c r="C27" s="143">
        <v>3</v>
      </c>
      <c r="D27" s="193" t="s">
        <v>216</v>
      </c>
      <c r="E27" s="177" t="s">
        <v>266</v>
      </c>
      <c r="F27" s="178">
        <f>IF(E27="Yes",5,0)</f>
        <v>5</v>
      </c>
      <c r="G27" s="444" t="s">
        <v>446</v>
      </c>
      <c r="H27" s="445"/>
      <c r="I27" s="445"/>
      <c r="J27" s="445"/>
      <c r="K27" s="446"/>
    </row>
    <row r="28" spans="2:58" ht="51.75" customHeight="1">
      <c r="B28" s="439"/>
      <c r="C28" s="127">
        <v>4</v>
      </c>
      <c r="D28" s="192" t="s">
        <v>217</v>
      </c>
      <c r="E28" s="140" t="s">
        <v>193</v>
      </c>
      <c r="F28" s="135">
        <f t="shared" ref="F28:F32" si="3">IF(E28="Yes",1,0)</f>
        <v>0</v>
      </c>
      <c r="G28" s="453" t="s">
        <v>444</v>
      </c>
      <c r="H28" s="454"/>
      <c r="I28" s="454"/>
      <c r="J28" s="454"/>
      <c r="K28" s="455"/>
    </row>
    <row r="29" spans="2:58" ht="50.25" customHeight="1">
      <c r="B29" s="439"/>
      <c r="C29" s="151">
        <v>5</v>
      </c>
      <c r="D29" s="193" t="s">
        <v>218</v>
      </c>
      <c r="E29" s="177" t="s">
        <v>193</v>
      </c>
      <c r="F29" s="178">
        <f t="shared" si="3"/>
        <v>0</v>
      </c>
      <c r="G29" s="465" t="s">
        <v>374</v>
      </c>
      <c r="H29" s="466"/>
      <c r="I29" s="466"/>
      <c r="J29" s="466"/>
      <c r="K29" s="467"/>
    </row>
    <row r="30" spans="2:58" ht="47.25" customHeight="1">
      <c r="B30" s="439"/>
      <c r="C30" s="131">
        <v>6</v>
      </c>
      <c r="D30" s="192" t="s">
        <v>220</v>
      </c>
      <c r="E30" s="140" t="s">
        <v>266</v>
      </c>
      <c r="F30" s="135">
        <f>IF(E30="Yes",7,0)</f>
        <v>7</v>
      </c>
      <c r="G30" s="435"/>
      <c r="H30" s="436"/>
      <c r="I30" s="436"/>
      <c r="J30" s="436"/>
      <c r="K30" s="437"/>
    </row>
    <row r="31" spans="2:58" ht="48.75" customHeight="1" thickBot="1">
      <c r="B31" s="440"/>
      <c r="C31" s="158">
        <v>7</v>
      </c>
      <c r="D31" s="194" t="s">
        <v>221</v>
      </c>
      <c r="E31" s="179" t="s">
        <v>266</v>
      </c>
      <c r="F31" s="180">
        <f>IF(E31="Yes",7,0)</f>
        <v>7</v>
      </c>
      <c r="G31" s="606"/>
      <c r="H31" s="607"/>
      <c r="I31" s="607"/>
      <c r="J31" s="607"/>
      <c r="K31" s="608"/>
    </row>
    <row r="32" spans="2:58" ht="48.75" customHeight="1">
      <c r="B32" s="438" t="s">
        <v>257</v>
      </c>
      <c r="C32" s="227">
        <v>1</v>
      </c>
      <c r="D32" s="206" t="s">
        <v>222</v>
      </c>
      <c r="E32" s="181" t="s">
        <v>266</v>
      </c>
      <c r="F32" s="182">
        <f t="shared" si="3"/>
        <v>1</v>
      </c>
      <c r="G32" s="456"/>
      <c r="H32" s="457"/>
      <c r="I32" s="457"/>
      <c r="J32" s="457"/>
      <c r="K32" s="458"/>
    </row>
    <row r="33" spans="2:11" ht="45.95" customHeight="1">
      <c r="B33" s="439"/>
      <c r="C33" s="143">
        <v>2</v>
      </c>
      <c r="D33" s="203" t="s">
        <v>223</v>
      </c>
      <c r="E33" s="177" t="s">
        <v>266</v>
      </c>
      <c r="F33" s="178">
        <f>IF(E33="Yes",5,0)</f>
        <v>5</v>
      </c>
      <c r="G33" s="444"/>
      <c r="H33" s="445"/>
      <c r="I33" s="445"/>
      <c r="J33" s="445"/>
      <c r="K33" s="446"/>
    </row>
    <row r="34" spans="2:11" ht="45.95" customHeight="1">
      <c r="B34" s="439"/>
      <c r="C34" s="131">
        <v>3</v>
      </c>
      <c r="D34" s="202" t="s">
        <v>224</v>
      </c>
      <c r="E34" s="140" t="s">
        <v>193</v>
      </c>
      <c r="F34" s="135">
        <f>IF(E34="Yes",5,0)</f>
        <v>0</v>
      </c>
      <c r="G34" s="453" t="s">
        <v>371</v>
      </c>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193</v>
      </c>
      <c r="F36" s="182">
        <f>IF(E36="Yes",7,0)</f>
        <v>0</v>
      </c>
      <c r="G36" s="471" t="s">
        <v>447</v>
      </c>
      <c r="H36" s="472"/>
      <c r="I36" s="472"/>
      <c r="J36" s="472"/>
      <c r="K36" s="473"/>
    </row>
    <row r="37" spans="2:11" ht="45.95" customHeight="1">
      <c r="B37" s="439"/>
      <c r="C37" s="174">
        <v>2</v>
      </c>
      <c r="D37" s="203" t="s">
        <v>226</v>
      </c>
      <c r="E37" s="177" t="s">
        <v>266</v>
      </c>
      <c r="F37" s="178">
        <f>IF(E37="Yes",5,0)</f>
        <v>5</v>
      </c>
      <c r="G37" s="195"/>
      <c r="H37" s="196"/>
      <c r="I37" s="196"/>
      <c r="J37" s="196"/>
      <c r="K37" s="197"/>
    </row>
    <row r="38" spans="2:11" ht="50.25"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266</v>
      </c>
      <c r="F39" s="178">
        <f>IF(OR(E39="Yes",E39="NA"),7,0)</f>
        <v>7</v>
      </c>
      <c r="G39" s="195"/>
      <c r="H39" s="196"/>
      <c r="I39" s="196"/>
      <c r="J39" s="196"/>
      <c r="K39" s="19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149"/>
      <c r="H41" s="147"/>
      <c r="I41" s="147"/>
      <c r="J41" s="147"/>
      <c r="K41" s="148"/>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193</v>
      </c>
      <c r="F44" s="135">
        <f>IF(E44="Yes",1,0)</f>
        <v>0</v>
      </c>
      <c r="G44" s="453" t="s">
        <v>445</v>
      </c>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315</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266</v>
      </c>
      <c r="F53" s="190">
        <f>IF(E53="Yes",1,0)</f>
        <v>1</v>
      </c>
      <c r="G53" s="444"/>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5">
    <mergeCell ref="B46:B48"/>
    <mergeCell ref="G46:K46"/>
    <mergeCell ref="G47:K47"/>
    <mergeCell ref="G48:K48"/>
    <mergeCell ref="B49:B53"/>
    <mergeCell ref="G49:K49"/>
    <mergeCell ref="G50:K50"/>
    <mergeCell ref="G51:K51"/>
    <mergeCell ref="G52:K52"/>
    <mergeCell ref="G53:K53"/>
    <mergeCell ref="B41:B45"/>
    <mergeCell ref="G42:K42"/>
    <mergeCell ref="G43:K43"/>
    <mergeCell ref="B32:B35"/>
    <mergeCell ref="G32:K32"/>
    <mergeCell ref="G33:K33"/>
    <mergeCell ref="G34:K34"/>
    <mergeCell ref="G35:K35"/>
    <mergeCell ref="G44:K44"/>
    <mergeCell ref="G45:K45"/>
    <mergeCell ref="G23:K23"/>
    <mergeCell ref="B36:B40"/>
    <mergeCell ref="G36:K36"/>
    <mergeCell ref="G38:K38"/>
    <mergeCell ref="G40:K40"/>
    <mergeCell ref="B24:D24"/>
    <mergeCell ref="G24:K24"/>
    <mergeCell ref="B25:B31"/>
    <mergeCell ref="G25:K25"/>
    <mergeCell ref="G26:K26"/>
    <mergeCell ref="G27:K27"/>
    <mergeCell ref="G28:K28"/>
    <mergeCell ref="G31:K31"/>
    <mergeCell ref="G30:K30"/>
    <mergeCell ref="G29:K29"/>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I14:J14"/>
    <mergeCell ref="B1:D2"/>
    <mergeCell ref="C3:D3"/>
    <mergeCell ref="C4:D4"/>
    <mergeCell ref="H4:J4"/>
    <mergeCell ref="C5:D5"/>
    <mergeCell ref="B7:B9"/>
    <mergeCell ref="C7:D7"/>
    <mergeCell ref="C8:D9"/>
    <mergeCell ref="C11:D11"/>
    <mergeCell ref="C12:D12"/>
    <mergeCell ref="C13:D13"/>
    <mergeCell ref="C14:D14"/>
    <mergeCell ref="G14:H14"/>
  </mergeCells>
  <conditionalFormatting sqref="E17:E23">
    <cfRule type="notContainsText" dxfId="79" priority="9" operator="notContains" text="YES">
      <formula>ISERROR(SEARCH("YES",E17))</formula>
    </cfRule>
  </conditionalFormatting>
  <conditionalFormatting sqref="E43:E53">
    <cfRule type="containsText" dxfId="78" priority="7" operator="containsText" text="No">
      <formula>NOT(ISERROR(SEARCH("No",E43)))</formula>
    </cfRule>
  </conditionalFormatting>
  <conditionalFormatting sqref="E25:F42">
    <cfRule type="containsText" dxfId="77" priority="8" operator="containsText" text="No">
      <formula>NOT(ISERROR(SEARCH("No",E25)))</formula>
    </cfRule>
  </conditionalFormatting>
  <conditionalFormatting sqref="H4:J4">
    <cfRule type="cellIs" dxfId="76" priority="1" operator="equal">
      <formula>"NO PASA"</formula>
    </cfRule>
    <cfRule type="cellIs" dxfId="75" priority="2" operator="equal">
      <formula>"NO PASA"</formula>
    </cfRule>
    <cfRule type="cellIs" dxfId="74" priority="3" operator="equal">
      <formula>"PASA"</formula>
    </cfRule>
    <cfRule type="cellIs" dxfId="73" priority="4" operator="equal">
      <formula>"PASA"</formula>
    </cfRule>
    <cfRule type="cellIs" dxfId="72" priority="5" operator="equal">
      <formula>"NO PASA"</formula>
    </cfRule>
    <cfRule type="containsText" dxfId="71" priority="6" operator="containsText" text="PASA">
      <formula>NOT(ISERROR(SEARCH("PASA",H4)))</formula>
    </cfRule>
    <cfRule type="cellIs" dxfId="70" priority="13" operator="equal">
      <formula>$BC$7</formula>
    </cfRule>
    <cfRule type="cellIs" dxfId="69" priority="14" operator="equal">
      <formula>$BC$6</formula>
    </cfRule>
    <cfRule type="cellIs" dxfId="68" priority="15" operator="equal">
      <formula>$BC$4</formula>
    </cfRule>
  </conditionalFormatting>
  <conditionalFormatting sqref="I14">
    <cfRule type="cellIs" dxfId="67" priority="10" operator="greaterThanOrEqual">
      <formula>0.9</formula>
    </cfRule>
    <cfRule type="cellIs" dxfId="66" priority="11" operator="between">
      <formula>0.71</formula>
      <formula>0.9</formula>
    </cfRule>
    <cfRule type="cellIs" dxfId="65" priority="12" operator="lessThan">
      <formula>0.71</formula>
    </cfRule>
  </conditionalFormatting>
  <dataValidations count="3">
    <dataValidation type="list" allowBlank="1" showInputMessage="1" showErrorMessage="1" sqref="E17:E23" xr:uid="{00000000-0002-0000-1E00-000000000000}">
      <formula1>"Yes,No,Cured in Moment"</formula1>
    </dataValidation>
    <dataValidation type="list" allowBlank="1" showInputMessage="1" showErrorMessage="1" sqref="E52:E53 E25:E37 E40:E49" xr:uid="{00000000-0002-0000-1E00-000001000000}">
      <formula1>"Yes,No"</formula1>
    </dataValidation>
    <dataValidation type="list" allowBlank="1" showInputMessage="1" showErrorMessage="1" sqref="E38:E39 E50:E51" xr:uid="{00000000-0002-0000-1E00-000002000000}">
      <formula1>"Yes,No,NA"</formula1>
    </dataValidation>
  </dataValidation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1" tint="0.499984740745262"/>
  </sheetPr>
  <dimension ref="B1:H103"/>
  <sheetViews>
    <sheetView zoomScale="50" zoomScaleNormal="50" workbookViewId="0">
      <selection activeCell="F11" sqref="F11"/>
    </sheetView>
  </sheetViews>
  <sheetFormatPr baseColWidth="10" defaultColWidth="8.85546875" defaultRowHeight="18"/>
  <cols>
    <col min="1" max="1" width="4.42578125" style="124" customWidth="1"/>
    <col min="2" max="2" width="40.140625" style="122"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104.25" customHeight="1">
      <c r="B7" s="300" t="s">
        <v>448</v>
      </c>
      <c r="C7" s="130" t="s">
        <v>385</v>
      </c>
      <c r="D7" s="284">
        <v>46295</v>
      </c>
      <c r="E7" s="130"/>
      <c r="F7" s="134"/>
    </row>
    <row r="8" spans="2:8" ht="60.75" customHeight="1">
      <c r="B8" s="301" t="s">
        <v>449</v>
      </c>
      <c r="C8" s="130" t="s">
        <v>385</v>
      </c>
      <c r="D8" s="284">
        <v>46295</v>
      </c>
      <c r="E8" s="127"/>
      <c r="F8" s="135"/>
    </row>
    <row r="9" spans="2:8" ht="69.75" customHeight="1">
      <c r="B9" s="302" t="s">
        <v>450</v>
      </c>
      <c r="C9" s="130" t="s">
        <v>385</v>
      </c>
      <c r="D9" s="138" t="s">
        <v>391</v>
      </c>
      <c r="E9" s="127"/>
      <c r="F9" s="136"/>
    </row>
    <row r="10" spans="2:8" ht="51.75" customHeight="1">
      <c r="B10" s="302" t="s">
        <v>451</v>
      </c>
      <c r="C10" s="130" t="s">
        <v>385</v>
      </c>
      <c r="D10" s="284">
        <v>46295</v>
      </c>
      <c r="E10" s="131"/>
      <c r="F10" s="136"/>
    </row>
    <row r="11" spans="2:8" ht="39.950000000000003" customHeight="1">
      <c r="B11" s="301"/>
      <c r="C11" s="130"/>
      <c r="D11" s="131"/>
      <c r="E11" s="131"/>
      <c r="F11" s="136"/>
    </row>
    <row r="12" spans="2:8" ht="44.1" customHeight="1">
      <c r="B12" s="304"/>
      <c r="C12" s="130"/>
      <c r="D12" s="131"/>
      <c r="E12" s="131"/>
      <c r="F12" s="136"/>
    </row>
    <row r="13" spans="2:8" s="126" customFormat="1" ht="30.95" customHeight="1">
      <c r="B13" s="141"/>
      <c r="C13" s="130"/>
      <c r="D13" s="131"/>
      <c r="E13" s="131"/>
      <c r="F13" s="136"/>
    </row>
    <row r="14" spans="2:8" ht="39.950000000000003" customHeight="1">
      <c r="B14" s="141"/>
      <c r="C14" s="130"/>
      <c r="D14" s="131"/>
      <c r="E14" s="131"/>
      <c r="F14" s="136"/>
    </row>
    <row r="15" spans="2:8" ht="39.950000000000003" customHeight="1">
      <c r="B15" s="303"/>
      <c r="C15" s="130"/>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316</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32:F32"/>
    <mergeCell ref="B33:F33"/>
    <mergeCell ref="B34:B35"/>
    <mergeCell ref="C34:C35"/>
    <mergeCell ref="D34:D35"/>
    <mergeCell ref="E34:E35"/>
    <mergeCell ref="F34:F35"/>
    <mergeCell ref="B18:F18"/>
    <mergeCell ref="B19:F19"/>
    <mergeCell ref="B20:B21"/>
    <mergeCell ref="C20:C21"/>
    <mergeCell ref="D20:D21"/>
    <mergeCell ref="E20:E21"/>
    <mergeCell ref="F20:F21"/>
    <mergeCell ref="B2:E2"/>
    <mergeCell ref="B3:F3"/>
    <mergeCell ref="B4:F4"/>
    <mergeCell ref="B5:B6"/>
    <mergeCell ref="C5:C6"/>
    <mergeCell ref="D5:D6"/>
    <mergeCell ref="E5:E6"/>
    <mergeCell ref="F5:F6"/>
  </mergeCells>
  <conditionalFormatting sqref="F31">
    <cfRule type="expression" dxfId="64" priority="1" stopIfTrue="1">
      <formula>IF($E31="NA",TRUE,FALSE)</formula>
    </cfRule>
  </conditionalFormatting>
  <dataValidations count="3">
    <dataValidation type="list" allowBlank="1" showInputMessage="1" showErrorMessage="1" sqref="E5:E6 E20:E21 E34:E35" xr:uid="{00000000-0002-0000-1F00-000000000000}">
      <formula1>"Yes,No,Cured in Moment"</formula1>
    </dataValidation>
    <dataValidation type="list" allowBlank="1" showInputMessage="1" showErrorMessage="1" sqref="E17" xr:uid="{00000000-0002-0000-1F00-000001000000}">
      <formula1>"Yes,No"</formula1>
    </dataValidation>
    <dataValidation type="list" allowBlank="1" showInputMessage="1" showErrorMessage="1" sqref="E31" xr:uid="{00000000-0002-0000-1F00-000002000000}">
      <formula1>"Yes,No,NA"</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F0"/>
  </sheetPr>
  <dimension ref="B1:BF56"/>
  <sheetViews>
    <sheetView zoomScale="60" zoomScaleNormal="60" workbookViewId="0">
      <selection activeCell="G44" sqref="G44:K44"/>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9.5703125" style="124" bestFit="1"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60.75" customHeight="1" thickBot="1">
      <c r="B3" s="210" t="s">
        <v>208</v>
      </c>
      <c r="C3" s="546" t="s">
        <v>332</v>
      </c>
      <c r="D3" s="547"/>
      <c r="E3" s="161"/>
      <c r="G3" s="220"/>
      <c r="H3" s="220"/>
      <c r="I3" s="220"/>
      <c r="J3" s="220"/>
    </row>
    <row r="4" spans="2:55" ht="114" customHeight="1" thickBot="1">
      <c r="B4" s="211" t="s">
        <v>275</v>
      </c>
      <c r="C4" s="509" t="s">
        <v>357</v>
      </c>
      <c r="D4" s="510"/>
      <c r="E4" s="150"/>
      <c r="G4" s="186" t="s">
        <v>11</v>
      </c>
      <c r="H4" s="511" t="str">
        <f>IF(COUNTIF(BB6,"0")&gt;0,"PASA","NO PASA")</f>
        <v>PASA</v>
      </c>
      <c r="I4" s="512"/>
      <c r="J4" s="513"/>
      <c r="BA4" s="221" t="s">
        <v>174</v>
      </c>
      <c r="BB4" s="123">
        <f>COUNTIF(E17:F23,BA4)</f>
        <v>0</v>
      </c>
      <c r="BC4" s="225" t="s">
        <v>262</v>
      </c>
    </row>
    <row r="5" spans="2:55" ht="55.5" customHeight="1" thickBot="1">
      <c r="B5" s="236" t="s">
        <v>203</v>
      </c>
      <c r="C5" s="514">
        <v>46281</v>
      </c>
      <c r="D5" s="515"/>
      <c r="G5" s="228" t="s">
        <v>198</v>
      </c>
      <c r="H5" s="185" t="s">
        <v>3</v>
      </c>
      <c r="I5" s="229" t="s">
        <v>4</v>
      </c>
      <c r="J5" s="230" t="s">
        <v>5</v>
      </c>
      <c r="BC5" s="225"/>
    </row>
    <row r="6" spans="2:55" ht="48" customHeight="1" thickBot="1">
      <c r="C6" s="122"/>
      <c r="E6" s="128"/>
      <c r="G6" s="187" t="s">
        <v>254</v>
      </c>
      <c r="H6" s="160">
        <v>31</v>
      </c>
      <c r="I6" s="160">
        <f>SUM(F25:F31)</f>
        <v>26</v>
      </c>
      <c r="J6" s="167">
        <f t="shared" ref="J6:J9" si="0">I6/H6</f>
        <v>0.83870967741935487</v>
      </c>
      <c r="BA6" s="221" t="s">
        <v>193</v>
      </c>
      <c r="BB6" s="123">
        <f>COUNTIF(E17:F23,BA6)</f>
        <v>0</v>
      </c>
      <c r="BC6" s="225" t="s">
        <v>263</v>
      </c>
    </row>
    <row r="7" spans="2:55" ht="48" customHeight="1" thickBot="1">
      <c r="B7" s="438" t="s">
        <v>243</v>
      </c>
      <c r="C7" s="516" t="s">
        <v>252</v>
      </c>
      <c r="D7" s="517"/>
      <c r="E7" s="164"/>
      <c r="G7" s="168" t="s">
        <v>199</v>
      </c>
      <c r="H7" s="169">
        <v>18</v>
      </c>
      <c r="I7" s="169">
        <f>SUM(F32:F35)</f>
        <v>13</v>
      </c>
      <c r="J7" s="170">
        <f t="shared" si="0"/>
        <v>0.72222222222222221</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14</v>
      </c>
      <c r="J9" s="170">
        <f t="shared" si="0"/>
        <v>0.73684210526315785</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5</v>
      </c>
      <c r="J11" s="170">
        <f t="shared" ref="J11:J12" si="1">I11/H11</f>
        <v>1</v>
      </c>
    </row>
    <row r="12" spans="2:55" ht="72.75" customHeight="1" thickBot="1">
      <c r="B12" s="219" t="s">
        <v>244</v>
      </c>
      <c r="C12" s="524" t="s">
        <v>246</v>
      </c>
      <c r="D12" s="525"/>
      <c r="E12" s="166"/>
      <c r="G12" s="198" t="s">
        <v>271</v>
      </c>
      <c r="H12" s="199">
        <f>SUM(H6:H11)</f>
        <v>117</v>
      </c>
      <c r="I12" s="199">
        <f>SUM(I6:I11)</f>
        <v>102</v>
      </c>
      <c r="J12" s="200">
        <f t="shared" si="1"/>
        <v>0.87179487179487181</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0.87179487179487181</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K20" s="173"/>
      <c r="V20" s="122"/>
      <c r="AY20" s="172" t="str">
        <f t="shared" si="2"/>
        <v>Yes</v>
      </c>
      <c r="BA20" s="222"/>
      <c r="BB20" s="122"/>
      <c r="BC20" s="122"/>
    </row>
    <row r="21" spans="2:58" s="172" customFormat="1" ht="45.95" customHeight="1">
      <c r="B21" s="439"/>
      <c r="C21" s="214">
        <v>5</v>
      </c>
      <c r="D21" s="215" t="s">
        <v>213</v>
      </c>
      <c r="E21" s="496" t="s">
        <v>266</v>
      </c>
      <c r="F21" s="497"/>
      <c r="G21" s="493"/>
      <c r="H21" s="494"/>
      <c r="I21" s="494"/>
      <c r="J21" s="494"/>
      <c r="K21" s="495"/>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c r="H24" s="478"/>
      <c r="I24" s="478"/>
      <c r="J24" s="478"/>
      <c r="K24" s="479"/>
    </row>
    <row r="25" spans="2:58" ht="63.75" customHeight="1">
      <c r="B25" s="439" t="s">
        <v>254</v>
      </c>
      <c r="C25" s="174">
        <v>1</v>
      </c>
      <c r="D25" s="191" t="s">
        <v>259</v>
      </c>
      <c r="E25" s="175" t="s">
        <v>193</v>
      </c>
      <c r="F25" s="176">
        <f>IF(E25="Yes",5,0)</f>
        <v>0</v>
      </c>
      <c r="G25" s="480" t="s">
        <v>376</v>
      </c>
      <c r="H25" s="481"/>
      <c r="I25" s="481"/>
      <c r="J25" s="481"/>
      <c r="K25" s="482"/>
    </row>
    <row r="26" spans="2:58" ht="45.95" customHeight="1">
      <c r="B26" s="439"/>
      <c r="C26" s="127">
        <v>2</v>
      </c>
      <c r="D26" s="192" t="s">
        <v>219</v>
      </c>
      <c r="E26" s="140" t="s">
        <v>266</v>
      </c>
      <c r="F26" s="135">
        <f>IF(E26="Yes",5,0)</f>
        <v>5</v>
      </c>
      <c r="G26" s="453"/>
      <c r="H26" s="454"/>
      <c r="I26" s="454"/>
      <c r="J26" s="454"/>
      <c r="K26" s="455"/>
    </row>
    <row r="27" spans="2:58" ht="45.95" customHeight="1">
      <c r="B27" s="439"/>
      <c r="C27" s="143">
        <v>3</v>
      </c>
      <c r="D27" s="193" t="s">
        <v>216</v>
      </c>
      <c r="E27" s="177" t="s">
        <v>266</v>
      </c>
      <c r="F27" s="178">
        <f>IF(E27="Yes",5,0)</f>
        <v>5</v>
      </c>
      <c r="G27" s="444"/>
      <c r="H27" s="445"/>
      <c r="I27" s="445"/>
      <c r="J27" s="445"/>
      <c r="K27" s="446"/>
    </row>
    <row r="28" spans="2:58" ht="51.75" customHeight="1">
      <c r="B28" s="439"/>
      <c r="C28" s="127">
        <v>4</v>
      </c>
      <c r="D28" s="192" t="s">
        <v>217</v>
      </c>
      <c r="E28" s="140" t="s">
        <v>266</v>
      </c>
      <c r="F28" s="135">
        <f t="shared" ref="F28:F32" si="3">IF(E28="Yes",1,0)</f>
        <v>1</v>
      </c>
      <c r="G28" s="453"/>
      <c r="H28" s="454"/>
      <c r="I28" s="454"/>
      <c r="J28" s="454"/>
      <c r="K28" s="455"/>
    </row>
    <row r="29" spans="2:58" ht="50.25" customHeight="1">
      <c r="B29" s="439"/>
      <c r="C29" s="151">
        <v>5</v>
      </c>
      <c r="D29" s="193" t="s">
        <v>218</v>
      </c>
      <c r="E29" s="177" t="s">
        <v>266</v>
      </c>
      <c r="F29" s="178">
        <f t="shared" si="3"/>
        <v>1</v>
      </c>
      <c r="G29" s="144"/>
      <c r="H29" s="145"/>
      <c r="I29" s="145"/>
      <c r="J29" s="145"/>
      <c r="K29" s="146"/>
    </row>
    <row r="30" spans="2:58" ht="47.25" customHeight="1">
      <c r="B30" s="439"/>
      <c r="C30" s="131">
        <v>6</v>
      </c>
      <c r="D30" s="192" t="s">
        <v>220</v>
      </c>
      <c r="E30" s="140" t="s">
        <v>266</v>
      </c>
      <c r="F30" s="135">
        <f>IF(E30="Yes",7,0)</f>
        <v>7</v>
      </c>
      <c r="G30" s="453"/>
      <c r="H30" s="454"/>
      <c r="I30" s="454"/>
      <c r="J30" s="454"/>
      <c r="K30" s="455"/>
    </row>
    <row r="31" spans="2:58" ht="48.75" customHeight="1" thickBot="1">
      <c r="B31" s="440"/>
      <c r="C31" s="158">
        <v>7</v>
      </c>
      <c r="D31" s="194" t="s">
        <v>221</v>
      </c>
      <c r="E31" s="179" t="s">
        <v>266</v>
      </c>
      <c r="F31" s="180">
        <f>IF(E31="Yes",7,0)</f>
        <v>7</v>
      </c>
      <c r="G31" s="543"/>
      <c r="H31" s="544"/>
      <c r="I31" s="544"/>
      <c r="J31" s="544"/>
      <c r="K31" s="545"/>
    </row>
    <row r="32" spans="2:58" ht="48.75" customHeight="1">
      <c r="B32" s="438" t="s">
        <v>257</v>
      </c>
      <c r="C32" s="227">
        <v>1</v>
      </c>
      <c r="D32" s="206" t="s">
        <v>222</v>
      </c>
      <c r="E32" s="181" t="s">
        <v>266</v>
      </c>
      <c r="F32" s="182">
        <f t="shared" si="3"/>
        <v>1</v>
      </c>
      <c r="G32" s="456"/>
      <c r="H32" s="457"/>
      <c r="I32" s="457"/>
      <c r="J32" s="457"/>
      <c r="K32" s="458"/>
    </row>
    <row r="33" spans="2:11" ht="45.95" customHeight="1">
      <c r="B33" s="439"/>
      <c r="C33" s="143">
        <v>2</v>
      </c>
      <c r="D33" s="203" t="s">
        <v>223</v>
      </c>
      <c r="E33" s="177" t="s">
        <v>266</v>
      </c>
      <c r="F33" s="178">
        <f>IF(E33="Yes",5,0)</f>
        <v>5</v>
      </c>
      <c r="G33" s="444"/>
      <c r="H33" s="445"/>
      <c r="I33" s="445"/>
      <c r="J33" s="445"/>
      <c r="K33" s="446"/>
    </row>
    <row r="34" spans="2:11" ht="45.95" customHeight="1" thickBot="1">
      <c r="B34" s="439"/>
      <c r="C34" s="131">
        <v>3</v>
      </c>
      <c r="D34" s="202" t="s">
        <v>224</v>
      </c>
      <c r="E34" s="140" t="s">
        <v>193</v>
      </c>
      <c r="F34" s="135">
        <f>IF(E34="Yes",5,0)</f>
        <v>0</v>
      </c>
      <c r="G34" s="459" t="s">
        <v>513</v>
      </c>
      <c r="H34" s="460"/>
      <c r="I34" s="460"/>
      <c r="J34" s="460"/>
      <c r="K34" s="461"/>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195"/>
      <c r="H37" s="196"/>
      <c r="I37" s="196"/>
      <c r="J37" s="196"/>
      <c r="K37" s="197"/>
    </row>
    <row r="38" spans="2:11" ht="50.25"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266</v>
      </c>
      <c r="F39" s="178">
        <f>IF(OR(E39="Yes",E39="NA"),7,0)</f>
        <v>7</v>
      </c>
      <c r="G39" s="195"/>
      <c r="H39" s="196"/>
      <c r="I39" s="196"/>
      <c r="J39" s="196"/>
      <c r="K39" s="19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462"/>
      <c r="H41" s="463"/>
      <c r="I41" s="463"/>
      <c r="J41" s="463"/>
      <c r="K41" s="464"/>
    </row>
    <row r="42" spans="2:11" ht="47.25" customHeight="1">
      <c r="B42" s="439"/>
      <c r="C42" s="127">
        <v>2</v>
      </c>
      <c r="D42" s="202" t="s">
        <v>237</v>
      </c>
      <c r="E42" s="140" t="s">
        <v>193</v>
      </c>
      <c r="F42" s="135">
        <f>IF(E42="Yes",5,0)</f>
        <v>0</v>
      </c>
      <c r="G42" s="453" t="s">
        <v>512</v>
      </c>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266</v>
      </c>
      <c r="F44" s="135">
        <f>IF(E44="Yes",1,0)</f>
        <v>1</v>
      </c>
      <c r="G44" s="453"/>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315</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266</v>
      </c>
      <c r="F53" s="190">
        <f>IF(E53="Yes",1,0)</f>
        <v>1</v>
      </c>
      <c r="G53" s="444"/>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5">
    <mergeCell ref="B46:B48"/>
    <mergeCell ref="G46:K46"/>
    <mergeCell ref="G47:K47"/>
    <mergeCell ref="G48:K48"/>
    <mergeCell ref="B49:B53"/>
    <mergeCell ref="G49:K49"/>
    <mergeCell ref="G50:K50"/>
    <mergeCell ref="G51:K51"/>
    <mergeCell ref="G52:K52"/>
    <mergeCell ref="G53:K53"/>
    <mergeCell ref="B41:B45"/>
    <mergeCell ref="G42:K42"/>
    <mergeCell ref="G43:K43"/>
    <mergeCell ref="B32:B35"/>
    <mergeCell ref="G32:K32"/>
    <mergeCell ref="G33:K33"/>
    <mergeCell ref="G34:K34"/>
    <mergeCell ref="G35:K35"/>
    <mergeCell ref="G44:K44"/>
    <mergeCell ref="G45:K45"/>
    <mergeCell ref="G41:K41"/>
    <mergeCell ref="G23:K23"/>
    <mergeCell ref="B36:B40"/>
    <mergeCell ref="G36:K36"/>
    <mergeCell ref="G38:K38"/>
    <mergeCell ref="G40:K40"/>
    <mergeCell ref="B24:D24"/>
    <mergeCell ref="G24:K24"/>
    <mergeCell ref="B25:B31"/>
    <mergeCell ref="G25:K25"/>
    <mergeCell ref="G26:K26"/>
    <mergeCell ref="G27:K27"/>
    <mergeCell ref="G28:K28"/>
    <mergeCell ref="G30:K30"/>
    <mergeCell ref="G31:K31"/>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I14:J14"/>
    <mergeCell ref="B1:D2"/>
    <mergeCell ref="C3:D3"/>
    <mergeCell ref="C4:D4"/>
    <mergeCell ref="H4:J4"/>
    <mergeCell ref="C5:D5"/>
    <mergeCell ref="B7:B9"/>
    <mergeCell ref="C7:D7"/>
    <mergeCell ref="C8:D9"/>
    <mergeCell ref="C11:D11"/>
    <mergeCell ref="C12:D12"/>
    <mergeCell ref="C13:D13"/>
    <mergeCell ref="C14:D14"/>
    <mergeCell ref="G14:H14"/>
  </mergeCells>
  <conditionalFormatting sqref="E17:E23">
    <cfRule type="notContainsText" dxfId="63" priority="9" operator="notContains" text="YES">
      <formula>ISERROR(SEARCH("YES",E17))</formula>
    </cfRule>
  </conditionalFormatting>
  <conditionalFormatting sqref="E43:E53">
    <cfRule type="containsText" dxfId="62" priority="7" operator="containsText" text="No">
      <formula>NOT(ISERROR(SEARCH("No",E43)))</formula>
    </cfRule>
  </conditionalFormatting>
  <conditionalFormatting sqref="E25:F42">
    <cfRule type="containsText" dxfId="61" priority="8" operator="containsText" text="No">
      <formula>NOT(ISERROR(SEARCH("No",E25)))</formula>
    </cfRule>
  </conditionalFormatting>
  <conditionalFormatting sqref="H4:J4">
    <cfRule type="cellIs" dxfId="60" priority="1" operator="equal">
      <formula>"NO PASA"</formula>
    </cfRule>
    <cfRule type="cellIs" dxfId="59" priority="2" operator="equal">
      <formula>"NO PASA"</formula>
    </cfRule>
    <cfRule type="cellIs" dxfId="58" priority="3" operator="equal">
      <formula>"PASA"</formula>
    </cfRule>
    <cfRule type="cellIs" dxfId="57" priority="4" operator="equal">
      <formula>"PASA"</formula>
    </cfRule>
    <cfRule type="cellIs" dxfId="56" priority="5" operator="equal">
      <formula>"NO PASA"</formula>
    </cfRule>
    <cfRule type="containsText" dxfId="55" priority="6" operator="containsText" text="PASA">
      <formula>NOT(ISERROR(SEARCH("PASA",H4)))</formula>
    </cfRule>
    <cfRule type="cellIs" dxfId="54" priority="13" operator="equal">
      <formula>$BC$7</formula>
    </cfRule>
    <cfRule type="cellIs" dxfId="53" priority="14" operator="equal">
      <formula>$BC$6</formula>
    </cfRule>
    <cfRule type="cellIs" dxfId="52" priority="15" operator="equal">
      <formula>$BC$4</formula>
    </cfRule>
  </conditionalFormatting>
  <conditionalFormatting sqref="I14">
    <cfRule type="cellIs" dxfId="51" priority="10" operator="greaterThanOrEqual">
      <formula>0.9</formula>
    </cfRule>
    <cfRule type="cellIs" dxfId="50" priority="11" operator="between">
      <formula>0.71</formula>
      <formula>0.9</formula>
    </cfRule>
    <cfRule type="cellIs" dxfId="49" priority="12" operator="lessThan">
      <formula>0.71</formula>
    </cfRule>
  </conditionalFormatting>
  <dataValidations count="3">
    <dataValidation type="list" allowBlank="1" showInputMessage="1" showErrorMessage="1" sqref="E38:E39 E50:E51" xr:uid="{00000000-0002-0000-2000-000000000000}">
      <formula1>"Yes,No,NA"</formula1>
    </dataValidation>
    <dataValidation type="list" allowBlank="1" showInputMessage="1" showErrorMessage="1" sqref="E52:E53 E25:E37 E40:E49" xr:uid="{00000000-0002-0000-2000-000001000000}">
      <formula1>"Yes,No"</formula1>
    </dataValidation>
    <dataValidation type="list" allowBlank="1" showInputMessage="1" showErrorMessage="1" sqref="E17:E23" xr:uid="{00000000-0002-0000-2000-000002000000}">
      <formula1>"Yes,No,Cured in Moment"</formula1>
    </dataValidation>
  </dataValidation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B0F0"/>
  </sheetPr>
  <dimension ref="B1:H103"/>
  <sheetViews>
    <sheetView zoomScale="50" zoomScaleNormal="50" workbookViewId="0">
      <selection activeCell="D9" sqref="D9"/>
    </sheetView>
  </sheetViews>
  <sheetFormatPr baseColWidth="10" defaultColWidth="8.85546875" defaultRowHeight="18"/>
  <cols>
    <col min="1" max="1" width="4.42578125" style="124" customWidth="1"/>
    <col min="2" max="2" width="40.140625" style="122"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66.75" customHeight="1">
      <c r="B7" s="306" t="s">
        <v>514</v>
      </c>
      <c r="C7" s="130" t="s">
        <v>386</v>
      </c>
      <c r="D7" s="284">
        <v>46295</v>
      </c>
      <c r="E7" s="130"/>
      <c r="F7" s="134"/>
    </row>
    <row r="8" spans="2:8" ht="69.75" customHeight="1">
      <c r="B8" s="306" t="s">
        <v>394</v>
      </c>
      <c r="C8" s="130" t="s">
        <v>386</v>
      </c>
      <c r="D8" s="138">
        <v>46295</v>
      </c>
      <c r="E8" s="127"/>
      <c r="F8" s="135"/>
    </row>
    <row r="9" spans="2:8" ht="78.75" customHeight="1">
      <c r="B9" s="302" t="s">
        <v>395</v>
      </c>
      <c r="C9" s="130" t="s">
        <v>386</v>
      </c>
      <c r="D9" s="138">
        <v>46295</v>
      </c>
      <c r="E9" s="127"/>
      <c r="F9" s="136"/>
    </row>
    <row r="10" spans="2:8" ht="83.25" customHeight="1">
      <c r="B10" s="302"/>
      <c r="C10" s="130"/>
      <c r="D10" s="284"/>
      <c r="E10" s="131"/>
      <c r="F10" s="136"/>
    </row>
    <row r="11" spans="2:8" ht="107.25" customHeight="1">
      <c r="B11" s="302"/>
      <c r="C11" s="130"/>
      <c r="D11" s="284"/>
      <c r="E11" s="131"/>
      <c r="F11" s="136"/>
    </row>
    <row r="12" spans="2:8" ht="44.1" customHeight="1">
      <c r="B12" s="302"/>
      <c r="C12" s="130"/>
      <c r="D12" s="131"/>
      <c r="E12" s="131"/>
      <c r="F12" s="136"/>
    </row>
    <row r="13" spans="2:8" s="126" customFormat="1" ht="30.95" customHeight="1">
      <c r="B13" s="302"/>
      <c r="C13" s="130"/>
      <c r="D13" s="131"/>
      <c r="E13" s="131"/>
      <c r="F13" s="136"/>
    </row>
    <row r="14" spans="2:8" ht="39.950000000000003" customHeight="1">
      <c r="B14" s="302"/>
      <c r="C14" s="130"/>
      <c r="D14" s="131"/>
      <c r="E14" s="131"/>
      <c r="F14" s="136"/>
    </row>
    <row r="15" spans="2:8" ht="39.950000000000003" customHeight="1">
      <c r="B15" s="302"/>
      <c r="C15" s="130"/>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316</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32:F32"/>
    <mergeCell ref="B33:F33"/>
    <mergeCell ref="B34:B35"/>
    <mergeCell ref="C34:C35"/>
    <mergeCell ref="D34:D35"/>
    <mergeCell ref="E34:E35"/>
    <mergeCell ref="F34:F35"/>
    <mergeCell ref="B18:F18"/>
    <mergeCell ref="B19:F19"/>
    <mergeCell ref="B20:B21"/>
    <mergeCell ref="C20:C21"/>
    <mergeCell ref="D20:D21"/>
    <mergeCell ref="E20:E21"/>
    <mergeCell ref="F20:F21"/>
    <mergeCell ref="B2:E2"/>
    <mergeCell ref="B3:F3"/>
    <mergeCell ref="B4:F4"/>
    <mergeCell ref="B5:B6"/>
    <mergeCell ref="C5:C6"/>
    <mergeCell ref="D5:D6"/>
    <mergeCell ref="E5:E6"/>
    <mergeCell ref="F5:F6"/>
  </mergeCells>
  <conditionalFormatting sqref="F31">
    <cfRule type="expression" dxfId="48" priority="1" stopIfTrue="1">
      <formula>IF($E31="NA",TRUE,FALSE)</formula>
    </cfRule>
  </conditionalFormatting>
  <dataValidations count="3">
    <dataValidation type="list" allowBlank="1" showInputMessage="1" showErrorMessage="1" sqref="E31" xr:uid="{00000000-0002-0000-2100-000000000000}">
      <formula1>"Yes,No,NA"</formula1>
    </dataValidation>
    <dataValidation type="list" allowBlank="1" showInputMessage="1" showErrorMessage="1" sqref="E17" xr:uid="{00000000-0002-0000-2100-000001000000}">
      <formula1>"Yes,No"</formula1>
    </dataValidation>
    <dataValidation type="list" allowBlank="1" showInputMessage="1" showErrorMessage="1" sqref="E5:E6 E20:E21 E34:E35" xr:uid="{00000000-0002-0000-2100-000002000000}">
      <formula1>"Yes,No,Cured in Moment"</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B1:BF56"/>
  <sheetViews>
    <sheetView topLeftCell="A28" zoomScale="60" zoomScaleNormal="60" workbookViewId="0">
      <selection activeCell="G36" sqref="G36:K36"/>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9.5703125" style="124" bestFit="1"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60.75" customHeight="1" thickBot="1">
      <c r="B3" s="210" t="s">
        <v>208</v>
      </c>
      <c r="C3" s="546" t="s">
        <v>333</v>
      </c>
      <c r="D3" s="547"/>
      <c r="E3" s="161"/>
      <c r="G3" s="220"/>
      <c r="H3" s="220"/>
      <c r="I3" s="220"/>
      <c r="J3" s="220"/>
    </row>
    <row r="4" spans="2:55" ht="114" customHeight="1" thickBot="1">
      <c r="B4" s="211" t="s">
        <v>275</v>
      </c>
      <c r="C4" s="509" t="s">
        <v>357</v>
      </c>
      <c r="D4" s="510"/>
      <c r="E4" s="150"/>
      <c r="G4" s="186" t="s">
        <v>11</v>
      </c>
      <c r="H4" s="511" t="str">
        <f>IF(COUNTIF(BB6,"0")&gt;0,"PASA","NO PASA")</f>
        <v>PASA</v>
      </c>
      <c r="I4" s="512"/>
      <c r="J4" s="513"/>
      <c r="BA4" s="221" t="s">
        <v>174</v>
      </c>
      <c r="BB4" s="123">
        <f>COUNTIF(E17:F23,BA4)</f>
        <v>0</v>
      </c>
      <c r="BC4" s="225" t="s">
        <v>262</v>
      </c>
    </row>
    <row r="5" spans="2:55" ht="55.5" customHeight="1" thickBot="1">
      <c r="B5" s="236" t="s">
        <v>203</v>
      </c>
      <c r="C5" s="514">
        <v>46281</v>
      </c>
      <c r="D5" s="515"/>
      <c r="G5" s="228" t="s">
        <v>198</v>
      </c>
      <c r="H5" s="185" t="s">
        <v>3</v>
      </c>
      <c r="I5" s="229" t="s">
        <v>4</v>
      </c>
      <c r="J5" s="230" t="s">
        <v>5</v>
      </c>
      <c r="BC5" s="225"/>
    </row>
    <row r="6" spans="2:55" ht="48" customHeight="1" thickBot="1">
      <c r="C6" s="122"/>
      <c r="E6" s="128"/>
      <c r="G6" s="187" t="s">
        <v>254</v>
      </c>
      <c r="H6" s="160">
        <v>31</v>
      </c>
      <c r="I6" s="160">
        <f>SUM(F25:F31)</f>
        <v>23</v>
      </c>
      <c r="J6" s="167">
        <f t="shared" ref="J6:J9" si="0">I6/H6</f>
        <v>0.74193548387096775</v>
      </c>
      <c r="BA6" s="221" t="s">
        <v>193</v>
      </c>
      <c r="BB6" s="123">
        <f>COUNTIF(E17:F23,BA6)</f>
        <v>0</v>
      </c>
      <c r="BC6" s="225" t="s">
        <v>263</v>
      </c>
    </row>
    <row r="7" spans="2:55" ht="48" customHeight="1" thickBot="1">
      <c r="B7" s="438" t="s">
        <v>243</v>
      </c>
      <c r="C7" s="516" t="s">
        <v>252</v>
      </c>
      <c r="D7" s="517"/>
      <c r="E7" s="164"/>
      <c r="G7" s="168" t="s">
        <v>199</v>
      </c>
      <c r="H7" s="169">
        <v>18</v>
      </c>
      <c r="I7" s="169">
        <f>SUM(F32:F35)</f>
        <v>13</v>
      </c>
      <c r="J7" s="170">
        <f t="shared" si="0"/>
        <v>0.72222222222222221</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19</v>
      </c>
      <c r="J9" s="170">
        <f t="shared" si="0"/>
        <v>1</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4</v>
      </c>
      <c r="J11" s="170">
        <f t="shared" ref="J11:J12" si="1">I11/H11</f>
        <v>0.8</v>
      </c>
    </row>
    <row r="12" spans="2:55" ht="72.75" customHeight="1" thickBot="1">
      <c r="B12" s="219" t="s">
        <v>244</v>
      </c>
      <c r="C12" s="524" t="s">
        <v>246</v>
      </c>
      <c r="D12" s="525"/>
      <c r="E12" s="166"/>
      <c r="G12" s="198" t="s">
        <v>271</v>
      </c>
      <c r="H12" s="199">
        <f>SUM(H6:H11)</f>
        <v>117</v>
      </c>
      <c r="I12" s="199">
        <f>SUM(I6:I11)</f>
        <v>103</v>
      </c>
      <c r="J12" s="200">
        <f t="shared" si="1"/>
        <v>0.88034188034188032</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0.88034188034188032</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K20" s="173"/>
      <c r="V20" s="122"/>
      <c r="AY20" s="172" t="str">
        <f t="shared" si="2"/>
        <v>Yes</v>
      </c>
      <c r="BA20" s="222"/>
      <c r="BB20" s="122"/>
      <c r="BC20" s="122"/>
    </row>
    <row r="21" spans="2:58" s="172" customFormat="1" ht="45.95" customHeight="1">
      <c r="B21" s="439"/>
      <c r="C21" s="214">
        <v>5</v>
      </c>
      <c r="D21" s="215" t="s">
        <v>213</v>
      </c>
      <c r="E21" s="496" t="s">
        <v>266</v>
      </c>
      <c r="F21" s="497"/>
      <c r="G21" s="493"/>
      <c r="H21" s="494"/>
      <c r="I21" s="494"/>
      <c r="J21" s="494"/>
      <c r="K21" s="495"/>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480"/>
      <c r="H25" s="481"/>
      <c r="I25" s="481"/>
      <c r="J25" s="481"/>
      <c r="K25" s="482"/>
    </row>
    <row r="26" spans="2:58" ht="45.95" customHeight="1">
      <c r="B26" s="439"/>
      <c r="C26" s="127">
        <v>2</v>
      </c>
      <c r="D26" s="192" t="s">
        <v>219</v>
      </c>
      <c r="E26" s="140" t="s">
        <v>266</v>
      </c>
      <c r="F26" s="135">
        <f>IF(E26="Yes",5,0)</f>
        <v>5</v>
      </c>
      <c r="G26" s="453"/>
      <c r="H26" s="454"/>
      <c r="I26" s="454"/>
      <c r="J26" s="454"/>
      <c r="K26" s="455"/>
    </row>
    <row r="27" spans="2:58" ht="45.95" customHeight="1">
      <c r="B27" s="439"/>
      <c r="C27" s="143">
        <v>3</v>
      </c>
      <c r="D27" s="193" t="s">
        <v>216</v>
      </c>
      <c r="E27" s="177" t="s">
        <v>266</v>
      </c>
      <c r="F27" s="178">
        <f>IF(E27="Yes",5,0)</f>
        <v>5</v>
      </c>
      <c r="G27" s="444"/>
      <c r="H27" s="445"/>
      <c r="I27" s="445"/>
      <c r="J27" s="445"/>
      <c r="K27" s="446"/>
    </row>
    <row r="28" spans="2:58" ht="51.75" customHeight="1">
      <c r="B28" s="439"/>
      <c r="C28" s="127">
        <v>4</v>
      </c>
      <c r="D28" s="192" t="s">
        <v>217</v>
      </c>
      <c r="E28" s="140" t="s">
        <v>193</v>
      </c>
      <c r="F28" s="135">
        <f t="shared" ref="F28:F32" si="3">IF(E28="Yes",1,0)</f>
        <v>0</v>
      </c>
      <c r="G28" s="453" t="s">
        <v>507</v>
      </c>
      <c r="H28" s="454"/>
      <c r="I28" s="454"/>
      <c r="J28" s="454"/>
      <c r="K28" s="455"/>
    </row>
    <row r="29" spans="2:58" ht="50.25" customHeight="1">
      <c r="B29" s="439"/>
      <c r="C29" s="151">
        <v>5</v>
      </c>
      <c r="D29" s="193" t="s">
        <v>218</v>
      </c>
      <c r="E29" s="177" t="s">
        <v>266</v>
      </c>
      <c r="F29" s="178">
        <f t="shared" si="3"/>
        <v>1</v>
      </c>
      <c r="G29" s="144"/>
      <c r="H29" s="145"/>
      <c r="I29" s="145"/>
      <c r="J29" s="145"/>
      <c r="K29" s="146"/>
    </row>
    <row r="30" spans="2:58" ht="47.25" customHeight="1">
      <c r="B30" s="439"/>
      <c r="C30" s="131">
        <v>6</v>
      </c>
      <c r="D30" s="192" t="s">
        <v>220</v>
      </c>
      <c r="E30" s="140" t="s">
        <v>193</v>
      </c>
      <c r="F30" s="135">
        <f>IF(E30="Yes",7,0)</f>
        <v>0</v>
      </c>
      <c r="G30" s="453" t="s">
        <v>508</v>
      </c>
      <c r="H30" s="454"/>
      <c r="I30" s="454"/>
      <c r="J30" s="454"/>
      <c r="K30" s="455"/>
    </row>
    <row r="31" spans="2:58" ht="48.75" customHeight="1" thickBot="1">
      <c r="B31" s="440"/>
      <c r="C31" s="158">
        <v>7</v>
      </c>
      <c r="D31" s="194" t="s">
        <v>221</v>
      </c>
      <c r="E31" s="179" t="s">
        <v>266</v>
      </c>
      <c r="F31" s="180">
        <f>IF(E31="Yes",7,0)</f>
        <v>7</v>
      </c>
      <c r="G31" s="543"/>
      <c r="H31" s="544"/>
      <c r="I31" s="544"/>
      <c r="J31" s="544"/>
      <c r="K31" s="545"/>
    </row>
    <row r="32" spans="2:58" ht="48.75" customHeight="1">
      <c r="B32" s="438" t="s">
        <v>257</v>
      </c>
      <c r="C32" s="227">
        <v>1</v>
      </c>
      <c r="D32" s="206" t="s">
        <v>222</v>
      </c>
      <c r="E32" s="181" t="s">
        <v>266</v>
      </c>
      <c r="F32" s="182">
        <f t="shared" si="3"/>
        <v>1</v>
      </c>
      <c r="G32" s="456"/>
      <c r="H32" s="457"/>
      <c r="I32" s="457"/>
      <c r="J32" s="457"/>
      <c r="K32" s="458"/>
    </row>
    <row r="33" spans="2:11" ht="45.95" customHeight="1">
      <c r="B33" s="439"/>
      <c r="C33" s="143">
        <v>2</v>
      </c>
      <c r="D33" s="203" t="s">
        <v>223</v>
      </c>
      <c r="E33" s="177" t="s">
        <v>266</v>
      </c>
      <c r="F33" s="178">
        <f>IF(E33="Yes",5,0)</f>
        <v>5</v>
      </c>
      <c r="G33" s="444"/>
      <c r="H33" s="445"/>
      <c r="I33" s="445"/>
      <c r="J33" s="445"/>
      <c r="K33" s="446"/>
    </row>
    <row r="34" spans="2:11" ht="45.95" customHeight="1">
      <c r="B34" s="439"/>
      <c r="C34" s="131">
        <v>3</v>
      </c>
      <c r="D34" s="202" t="s">
        <v>224</v>
      </c>
      <c r="E34" s="140" t="s">
        <v>193</v>
      </c>
      <c r="F34" s="135">
        <f>IF(E34="Yes",5,0)</f>
        <v>0</v>
      </c>
      <c r="G34" s="453" t="s">
        <v>506</v>
      </c>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195"/>
      <c r="H37" s="196"/>
      <c r="I37" s="196"/>
      <c r="J37" s="196"/>
      <c r="K37" s="197"/>
    </row>
    <row r="38" spans="2:11" ht="50.25"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266</v>
      </c>
      <c r="F39" s="178">
        <f>IF(OR(E39="Yes",E39="NA"),7,0)</f>
        <v>7</v>
      </c>
      <c r="G39" s="195"/>
      <c r="H39" s="196"/>
      <c r="I39" s="196"/>
      <c r="J39" s="196"/>
      <c r="K39" s="19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462"/>
      <c r="H41" s="463"/>
      <c r="I41" s="463"/>
      <c r="J41" s="463"/>
      <c r="K41" s="464"/>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266</v>
      </c>
      <c r="F44" s="135">
        <f>IF(E44="Yes",1,0)</f>
        <v>1</v>
      </c>
      <c r="G44" s="453"/>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315</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193</v>
      </c>
      <c r="F53" s="190">
        <f>IF(E53="Yes",1,0)</f>
        <v>0</v>
      </c>
      <c r="G53" s="444" t="s">
        <v>375</v>
      </c>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5">
    <mergeCell ref="B46:B48"/>
    <mergeCell ref="G46:K46"/>
    <mergeCell ref="G47:K47"/>
    <mergeCell ref="G48:K48"/>
    <mergeCell ref="B49:B53"/>
    <mergeCell ref="G49:K49"/>
    <mergeCell ref="G50:K50"/>
    <mergeCell ref="G51:K51"/>
    <mergeCell ref="G52:K52"/>
    <mergeCell ref="G53:K53"/>
    <mergeCell ref="B41:B45"/>
    <mergeCell ref="G42:K42"/>
    <mergeCell ref="G43:K43"/>
    <mergeCell ref="B32:B35"/>
    <mergeCell ref="G32:K32"/>
    <mergeCell ref="G33:K33"/>
    <mergeCell ref="G34:K34"/>
    <mergeCell ref="G35:K35"/>
    <mergeCell ref="G44:K44"/>
    <mergeCell ref="G45:K45"/>
    <mergeCell ref="G41:K41"/>
    <mergeCell ref="G23:K23"/>
    <mergeCell ref="B36:B40"/>
    <mergeCell ref="G36:K36"/>
    <mergeCell ref="G38:K38"/>
    <mergeCell ref="G40:K40"/>
    <mergeCell ref="B24:D24"/>
    <mergeCell ref="G24:K24"/>
    <mergeCell ref="B25:B31"/>
    <mergeCell ref="G25:K25"/>
    <mergeCell ref="G26:K26"/>
    <mergeCell ref="G27:K27"/>
    <mergeCell ref="G28:K28"/>
    <mergeCell ref="G31:K31"/>
    <mergeCell ref="G30:K30"/>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I14:J14"/>
    <mergeCell ref="B1:D2"/>
    <mergeCell ref="C3:D3"/>
    <mergeCell ref="C4:D4"/>
    <mergeCell ref="H4:J4"/>
    <mergeCell ref="C5:D5"/>
    <mergeCell ref="B7:B9"/>
    <mergeCell ref="C7:D7"/>
    <mergeCell ref="C8:D9"/>
    <mergeCell ref="C11:D11"/>
    <mergeCell ref="C12:D12"/>
    <mergeCell ref="C13:D13"/>
    <mergeCell ref="C14:D14"/>
    <mergeCell ref="G14:H14"/>
  </mergeCells>
  <conditionalFormatting sqref="E17:E23">
    <cfRule type="notContainsText" dxfId="47" priority="9" operator="notContains" text="YES">
      <formula>ISERROR(SEARCH("YES",E17))</formula>
    </cfRule>
  </conditionalFormatting>
  <conditionalFormatting sqref="E43:E53">
    <cfRule type="containsText" dxfId="46" priority="7" operator="containsText" text="No">
      <formula>NOT(ISERROR(SEARCH("No",E43)))</formula>
    </cfRule>
  </conditionalFormatting>
  <conditionalFormatting sqref="E25:F42">
    <cfRule type="containsText" dxfId="45" priority="8" operator="containsText" text="No">
      <formula>NOT(ISERROR(SEARCH("No",E25)))</formula>
    </cfRule>
  </conditionalFormatting>
  <conditionalFormatting sqref="H4:J4">
    <cfRule type="cellIs" dxfId="44" priority="1" operator="equal">
      <formula>"NO PASA"</formula>
    </cfRule>
    <cfRule type="cellIs" dxfId="43" priority="2" operator="equal">
      <formula>"NO PASA"</formula>
    </cfRule>
    <cfRule type="cellIs" dxfId="42" priority="3" operator="equal">
      <formula>"PASA"</formula>
    </cfRule>
    <cfRule type="cellIs" dxfId="41" priority="4" operator="equal">
      <formula>"PASA"</formula>
    </cfRule>
    <cfRule type="cellIs" dxfId="40" priority="5" operator="equal">
      <formula>"NO PASA"</formula>
    </cfRule>
    <cfRule type="containsText" dxfId="39" priority="6" operator="containsText" text="PASA">
      <formula>NOT(ISERROR(SEARCH("PASA",H4)))</formula>
    </cfRule>
    <cfRule type="cellIs" dxfId="38" priority="13" operator="equal">
      <formula>$BC$7</formula>
    </cfRule>
    <cfRule type="cellIs" dxfId="37" priority="14" operator="equal">
      <formula>$BC$6</formula>
    </cfRule>
    <cfRule type="cellIs" dxfId="36" priority="15" operator="equal">
      <formula>$BC$4</formula>
    </cfRule>
  </conditionalFormatting>
  <conditionalFormatting sqref="I14">
    <cfRule type="cellIs" dxfId="35" priority="10" operator="greaterThanOrEqual">
      <formula>0.9</formula>
    </cfRule>
    <cfRule type="cellIs" dxfId="34" priority="11" operator="between">
      <formula>0.71</formula>
      <formula>0.9</formula>
    </cfRule>
    <cfRule type="cellIs" dxfId="33" priority="12" operator="lessThan">
      <formula>0.71</formula>
    </cfRule>
  </conditionalFormatting>
  <dataValidations count="3">
    <dataValidation type="list" allowBlank="1" showInputMessage="1" showErrorMessage="1" sqref="E17:E23" xr:uid="{00000000-0002-0000-2200-000000000000}">
      <formula1>"Yes,No,Cured in Moment"</formula1>
    </dataValidation>
    <dataValidation type="list" allowBlank="1" showInputMessage="1" showErrorMessage="1" sqref="E52:E53 E25:E37 E40:E49" xr:uid="{00000000-0002-0000-2200-000001000000}">
      <formula1>"Yes,No"</formula1>
    </dataValidation>
    <dataValidation type="list" allowBlank="1" showInputMessage="1" showErrorMessage="1" sqref="E38:E39 E50:E51" xr:uid="{00000000-0002-0000-2200-000002000000}">
      <formula1>"Yes,No,NA"</formula1>
    </dataValidation>
  </dataValidation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B1:H103"/>
  <sheetViews>
    <sheetView zoomScale="50" zoomScaleNormal="50" workbookViewId="0">
      <selection activeCell="D9" sqref="D9"/>
    </sheetView>
  </sheetViews>
  <sheetFormatPr baseColWidth="10" defaultColWidth="8.85546875" defaultRowHeight="18"/>
  <cols>
    <col min="1" max="1" width="4.42578125" style="124" customWidth="1"/>
    <col min="2" max="2" width="53.28515625" style="122" bestFit="1"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45" customHeight="1">
      <c r="B7" s="305" t="s">
        <v>509</v>
      </c>
      <c r="C7" s="130" t="s">
        <v>386</v>
      </c>
      <c r="D7" s="138">
        <v>46295</v>
      </c>
      <c r="E7" s="130"/>
      <c r="F7" s="134"/>
    </row>
    <row r="8" spans="2:8" ht="74.25" customHeight="1">
      <c r="B8" s="138" t="s">
        <v>510</v>
      </c>
      <c r="C8" s="130" t="s">
        <v>386</v>
      </c>
      <c r="D8" s="138">
        <v>46295</v>
      </c>
      <c r="E8" s="127"/>
      <c r="F8" s="135"/>
    </row>
    <row r="9" spans="2:8" ht="39.950000000000003" customHeight="1">
      <c r="B9" s="304" t="s">
        <v>511</v>
      </c>
      <c r="C9" s="130" t="s">
        <v>386</v>
      </c>
      <c r="D9" s="138">
        <v>46295</v>
      </c>
      <c r="E9" s="127"/>
      <c r="F9" s="136"/>
    </row>
    <row r="10" spans="2:8" ht="66.75" customHeight="1">
      <c r="B10" s="304"/>
      <c r="C10" s="130" t="s">
        <v>386</v>
      </c>
      <c r="D10" s="138"/>
      <c r="E10" s="131"/>
      <c r="F10" s="136"/>
    </row>
    <row r="11" spans="2:8" ht="39.950000000000003" customHeight="1">
      <c r="B11" s="304"/>
      <c r="C11" s="130"/>
      <c r="D11" s="131"/>
      <c r="E11" s="131"/>
      <c r="F11" s="136"/>
    </row>
    <row r="12" spans="2:8" ht="44.1" customHeight="1">
      <c r="B12" s="304"/>
      <c r="C12" s="130"/>
      <c r="D12" s="131"/>
      <c r="E12" s="131"/>
      <c r="F12" s="136"/>
    </row>
    <row r="13" spans="2:8" s="126" customFormat="1" ht="30.95" customHeight="1">
      <c r="B13" s="304"/>
      <c r="C13" s="130"/>
      <c r="D13" s="131"/>
      <c r="E13" s="131"/>
      <c r="F13" s="136"/>
    </row>
    <row r="14" spans="2:8" ht="39.950000000000003" customHeight="1">
      <c r="B14" s="306"/>
      <c r="C14" s="130"/>
      <c r="D14" s="284"/>
      <c r="E14" s="131"/>
      <c r="F14" s="136"/>
    </row>
    <row r="15" spans="2:8" ht="39.950000000000003" customHeight="1">
      <c r="B15" s="141"/>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316</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32:F32"/>
    <mergeCell ref="B33:F33"/>
    <mergeCell ref="B34:B35"/>
    <mergeCell ref="C34:C35"/>
    <mergeCell ref="D34:D35"/>
    <mergeCell ref="E34:E35"/>
    <mergeCell ref="F34:F35"/>
    <mergeCell ref="B18:F18"/>
    <mergeCell ref="B19:F19"/>
    <mergeCell ref="B20:B21"/>
    <mergeCell ref="C20:C21"/>
    <mergeCell ref="D20:D21"/>
    <mergeCell ref="E20:E21"/>
    <mergeCell ref="F20:F21"/>
    <mergeCell ref="B2:E2"/>
    <mergeCell ref="B3:F3"/>
    <mergeCell ref="B4:F4"/>
    <mergeCell ref="B5:B6"/>
    <mergeCell ref="C5:C6"/>
    <mergeCell ref="D5:D6"/>
    <mergeCell ref="E5:E6"/>
    <mergeCell ref="F5:F6"/>
  </mergeCells>
  <conditionalFormatting sqref="F31">
    <cfRule type="expression" dxfId="32" priority="1" stopIfTrue="1">
      <formula>IF($E31="NA",TRUE,FALSE)</formula>
    </cfRule>
  </conditionalFormatting>
  <dataValidations count="3">
    <dataValidation type="list" allowBlank="1" showInputMessage="1" showErrorMessage="1" sqref="E5:E6 E20:E21 E34:E35" xr:uid="{00000000-0002-0000-2300-000000000000}">
      <formula1>"Yes,No,Cured in Moment"</formula1>
    </dataValidation>
    <dataValidation type="list" allowBlank="1" showInputMessage="1" showErrorMessage="1" sqref="E17" xr:uid="{00000000-0002-0000-2300-000001000000}">
      <formula1>"Yes,No"</formula1>
    </dataValidation>
    <dataValidation type="list" allowBlank="1" showInputMessage="1" showErrorMessage="1" sqref="E31" xr:uid="{00000000-0002-0000-2300-000002000000}">
      <formula1>"Yes,No,NA"</formula1>
    </dataValidation>
  </dataValidation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C00000"/>
  </sheetPr>
  <dimension ref="B1:BF56"/>
  <sheetViews>
    <sheetView zoomScale="60" zoomScaleNormal="60" workbookViewId="0">
      <selection activeCell="G29" sqref="G29"/>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9.5703125" style="124" bestFit="1"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60.75" customHeight="1" thickBot="1">
      <c r="B3" s="210" t="s">
        <v>208</v>
      </c>
      <c r="C3" s="546" t="s">
        <v>334</v>
      </c>
      <c r="D3" s="547"/>
      <c r="E3" s="161"/>
      <c r="G3" s="220"/>
      <c r="H3" s="220"/>
      <c r="I3" s="220"/>
      <c r="J3" s="220"/>
    </row>
    <row r="4" spans="2:55" ht="114" customHeight="1" thickBot="1">
      <c r="B4" s="211" t="s">
        <v>275</v>
      </c>
      <c r="C4" s="509" t="s">
        <v>357</v>
      </c>
      <c r="D4" s="510"/>
      <c r="E4" s="150"/>
      <c r="G4" s="186" t="s">
        <v>11</v>
      </c>
      <c r="H4" s="511" t="str">
        <f>IF(COUNTIF(BB6,"0")&gt;0,"PASA","NO PASA")</f>
        <v>PASA</v>
      </c>
      <c r="I4" s="512"/>
      <c r="J4" s="513"/>
      <c r="BA4" s="221" t="s">
        <v>174</v>
      </c>
      <c r="BB4" s="123">
        <f>COUNTIF(E17:F23,BA4)</f>
        <v>0</v>
      </c>
      <c r="BC4" s="225" t="s">
        <v>262</v>
      </c>
    </row>
    <row r="5" spans="2:55" ht="55.5" customHeight="1" thickBot="1">
      <c r="B5" s="236" t="s">
        <v>203</v>
      </c>
      <c r="C5" s="514">
        <v>46281</v>
      </c>
      <c r="D5" s="515"/>
      <c r="G5" s="228" t="s">
        <v>198</v>
      </c>
      <c r="H5" s="185" t="s">
        <v>3</v>
      </c>
      <c r="I5" s="229" t="s">
        <v>4</v>
      </c>
      <c r="J5" s="230" t="s">
        <v>5</v>
      </c>
      <c r="BC5" s="225"/>
    </row>
    <row r="6" spans="2:55" ht="48" customHeight="1" thickBot="1">
      <c r="C6" s="122"/>
      <c r="E6" s="128"/>
      <c r="G6" s="187" t="s">
        <v>254</v>
      </c>
      <c r="H6" s="160">
        <v>31</v>
      </c>
      <c r="I6" s="160">
        <f>SUM(F25:F31)</f>
        <v>30</v>
      </c>
      <c r="J6" s="167">
        <f t="shared" ref="J6:J9" si="0">I6/H6</f>
        <v>0.967741935483871</v>
      </c>
      <c r="BA6" s="221" t="s">
        <v>193</v>
      </c>
      <c r="BB6" s="123">
        <f>COUNTIF(E17:F23,BA6)</f>
        <v>0</v>
      </c>
      <c r="BC6" s="225" t="s">
        <v>263</v>
      </c>
    </row>
    <row r="7" spans="2:55" ht="48" customHeight="1" thickBot="1">
      <c r="B7" s="438" t="s">
        <v>243</v>
      </c>
      <c r="C7" s="516" t="s">
        <v>252</v>
      </c>
      <c r="D7" s="517"/>
      <c r="E7" s="164"/>
      <c r="G7" s="168" t="s">
        <v>199</v>
      </c>
      <c r="H7" s="169">
        <v>18</v>
      </c>
      <c r="I7" s="169">
        <f>SUM(F32:F35)</f>
        <v>13</v>
      </c>
      <c r="J7" s="170">
        <f t="shared" si="0"/>
        <v>0.72222222222222221</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13</v>
      </c>
      <c r="J9" s="170">
        <f t="shared" si="0"/>
        <v>0.68421052631578949</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5</v>
      </c>
      <c r="J11" s="170">
        <f t="shared" ref="J11:J12" si="1">I11/H11</f>
        <v>1</v>
      </c>
    </row>
    <row r="12" spans="2:55" ht="72.75" customHeight="1" thickBot="1">
      <c r="B12" s="219" t="s">
        <v>244</v>
      </c>
      <c r="C12" s="524" t="s">
        <v>246</v>
      </c>
      <c r="D12" s="525"/>
      <c r="E12" s="166"/>
      <c r="G12" s="198" t="s">
        <v>271</v>
      </c>
      <c r="H12" s="199">
        <f>SUM(H6:H11)</f>
        <v>117</v>
      </c>
      <c r="I12" s="199">
        <f>SUM(I6:I11)</f>
        <v>105</v>
      </c>
      <c r="J12" s="200">
        <f t="shared" si="1"/>
        <v>0.89743589743589747</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0.89743589743589747</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K20" s="173"/>
      <c r="V20" s="122"/>
      <c r="AY20" s="172" t="str">
        <f t="shared" si="2"/>
        <v>Yes</v>
      </c>
      <c r="BA20" s="222"/>
      <c r="BB20" s="122"/>
      <c r="BC20" s="122"/>
    </row>
    <row r="21" spans="2:58" s="172" customFormat="1" ht="45.95" customHeight="1">
      <c r="B21" s="439"/>
      <c r="C21" s="214">
        <v>5</v>
      </c>
      <c r="D21" s="215" t="s">
        <v>213</v>
      </c>
      <c r="E21" s="496" t="s">
        <v>266</v>
      </c>
      <c r="F21" s="497"/>
      <c r="G21" s="493"/>
      <c r="H21" s="494"/>
      <c r="I21" s="494"/>
      <c r="J21" s="494"/>
      <c r="K21" s="495"/>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450"/>
      <c r="H25" s="451"/>
      <c r="I25" s="451"/>
      <c r="J25" s="451"/>
      <c r="K25" s="452"/>
    </row>
    <row r="26" spans="2:58" ht="45.95" customHeight="1">
      <c r="B26" s="439"/>
      <c r="C26" s="127">
        <v>2</v>
      </c>
      <c r="D26" s="192" t="s">
        <v>219</v>
      </c>
      <c r="E26" s="140" t="s">
        <v>266</v>
      </c>
      <c r="F26" s="135">
        <f>IF(E26="Yes",5,0)</f>
        <v>5</v>
      </c>
      <c r="G26" s="453"/>
      <c r="H26" s="454"/>
      <c r="I26" s="454"/>
      <c r="J26" s="454"/>
      <c r="K26" s="455"/>
    </row>
    <row r="27" spans="2:58" ht="45.95" customHeight="1">
      <c r="B27" s="439"/>
      <c r="C27" s="143">
        <v>3</v>
      </c>
      <c r="D27" s="193" t="s">
        <v>216</v>
      </c>
      <c r="E27" s="177" t="s">
        <v>266</v>
      </c>
      <c r="F27" s="178">
        <f>IF(E27="Yes",5,0)</f>
        <v>5</v>
      </c>
      <c r="G27" s="444"/>
      <c r="H27" s="445"/>
      <c r="I27" s="445"/>
      <c r="J27" s="445"/>
      <c r="K27" s="446"/>
    </row>
    <row r="28" spans="2:58" ht="51.75" customHeight="1">
      <c r="B28" s="439"/>
      <c r="C28" s="127">
        <v>4</v>
      </c>
      <c r="D28" s="192" t="s">
        <v>217</v>
      </c>
      <c r="E28" s="140" t="s">
        <v>193</v>
      </c>
      <c r="F28" s="135">
        <f t="shared" ref="F28:F32" si="3">IF(E28="Yes",1,0)</f>
        <v>0</v>
      </c>
      <c r="G28" s="453" t="s">
        <v>443</v>
      </c>
      <c r="H28" s="454"/>
      <c r="I28" s="454"/>
      <c r="J28" s="454"/>
      <c r="K28" s="455"/>
    </row>
    <row r="29" spans="2:58" ht="50.25" customHeight="1">
      <c r="B29" s="439"/>
      <c r="C29" s="151">
        <v>5</v>
      </c>
      <c r="D29" s="193" t="s">
        <v>218</v>
      </c>
      <c r="E29" s="177" t="s">
        <v>266</v>
      </c>
      <c r="F29" s="178">
        <f t="shared" si="3"/>
        <v>1</v>
      </c>
      <c r="G29" s="144"/>
      <c r="H29" s="145"/>
      <c r="I29" s="145"/>
      <c r="J29" s="145"/>
      <c r="K29" s="146"/>
    </row>
    <row r="30" spans="2:58" ht="47.25" customHeight="1">
      <c r="B30" s="439"/>
      <c r="C30" s="131">
        <v>6</v>
      </c>
      <c r="D30" s="192" t="s">
        <v>220</v>
      </c>
      <c r="E30" s="140" t="s">
        <v>266</v>
      </c>
      <c r="F30" s="135">
        <f>IF(E30="Yes",7,0)</f>
        <v>7</v>
      </c>
      <c r="G30" s="435"/>
      <c r="H30" s="436"/>
      <c r="I30" s="436"/>
      <c r="J30" s="436"/>
      <c r="K30" s="437"/>
    </row>
    <row r="31" spans="2:58" ht="48.75" customHeight="1" thickBot="1">
      <c r="B31" s="440"/>
      <c r="C31" s="158">
        <v>7</v>
      </c>
      <c r="D31" s="194" t="s">
        <v>221</v>
      </c>
      <c r="E31" s="179" t="s">
        <v>266</v>
      </c>
      <c r="F31" s="180">
        <f>IF(E31="Yes",7,0)</f>
        <v>7</v>
      </c>
      <c r="G31" s="543"/>
      <c r="H31" s="544"/>
      <c r="I31" s="544"/>
      <c r="J31" s="544"/>
      <c r="K31" s="157"/>
    </row>
    <row r="32" spans="2:58" ht="48.75" customHeight="1">
      <c r="B32" s="438" t="s">
        <v>257</v>
      </c>
      <c r="C32" s="227">
        <v>1</v>
      </c>
      <c r="D32" s="206" t="s">
        <v>222</v>
      </c>
      <c r="E32" s="181" t="s">
        <v>266</v>
      </c>
      <c r="F32" s="182">
        <f t="shared" si="3"/>
        <v>1</v>
      </c>
      <c r="G32" s="456"/>
      <c r="H32" s="457"/>
      <c r="I32" s="457"/>
      <c r="J32" s="457"/>
      <c r="K32" s="458"/>
    </row>
    <row r="33" spans="2:11" ht="45.95" customHeight="1">
      <c r="B33" s="439"/>
      <c r="C33" s="143">
        <v>2</v>
      </c>
      <c r="D33" s="203" t="s">
        <v>223</v>
      </c>
      <c r="E33" s="177" t="s">
        <v>266</v>
      </c>
      <c r="F33" s="178">
        <f>IF(E33="Yes",5,0)</f>
        <v>5</v>
      </c>
      <c r="G33" s="444"/>
      <c r="H33" s="445"/>
      <c r="I33" s="445"/>
      <c r="J33" s="445"/>
      <c r="K33" s="446"/>
    </row>
    <row r="34" spans="2:11" ht="45.95" customHeight="1">
      <c r="B34" s="439"/>
      <c r="C34" s="131">
        <v>3</v>
      </c>
      <c r="D34" s="202" t="s">
        <v>224</v>
      </c>
      <c r="E34" s="140" t="s">
        <v>193</v>
      </c>
      <c r="F34" s="135">
        <f>IF(E34="Yes",5,0)</f>
        <v>0</v>
      </c>
      <c r="G34" s="453" t="s">
        <v>371</v>
      </c>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195"/>
      <c r="H37" s="196"/>
      <c r="I37" s="196"/>
      <c r="J37" s="196"/>
      <c r="K37" s="197"/>
    </row>
    <row r="38" spans="2:11" ht="50.25"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266</v>
      </c>
      <c r="F39" s="178">
        <f>IF(OR(E39="Yes",E39="NA"),7,0)</f>
        <v>7</v>
      </c>
      <c r="G39" s="195"/>
      <c r="H39" s="196"/>
      <c r="I39" s="196"/>
      <c r="J39" s="196"/>
      <c r="K39" s="19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462"/>
      <c r="H41" s="463"/>
      <c r="I41" s="463"/>
      <c r="J41" s="463"/>
      <c r="K41" s="464"/>
    </row>
    <row r="42" spans="2:11" ht="47.25" customHeight="1">
      <c r="B42" s="439"/>
      <c r="C42" s="127">
        <v>2</v>
      </c>
      <c r="D42" s="202" t="s">
        <v>237</v>
      </c>
      <c r="E42" s="140" t="s">
        <v>193</v>
      </c>
      <c r="F42" s="135">
        <f>IF(E42="Yes",5,0)</f>
        <v>0</v>
      </c>
      <c r="G42" s="453" t="s">
        <v>377</v>
      </c>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193</v>
      </c>
      <c r="F44" s="135">
        <f>IF(E44="Yes",1,0)</f>
        <v>0</v>
      </c>
      <c r="G44" s="453" t="s">
        <v>439</v>
      </c>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315</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266</v>
      </c>
      <c r="F53" s="190">
        <f>IF(E53="Yes",1,0)</f>
        <v>1</v>
      </c>
      <c r="G53" s="444"/>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5">
    <mergeCell ref="B46:B48"/>
    <mergeCell ref="G46:K46"/>
    <mergeCell ref="G47:K47"/>
    <mergeCell ref="G48:K48"/>
    <mergeCell ref="B49:B53"/>
    <mergeCell ref="G49:K49"/>
    <mergeCell ref="G50:K50"/>
    <mergeCell ref="G51:K51"/>
    <mergeCell ref="G52:K52"/>
    <mergeCell ref="G53:K53"/>
    <mergeCell ref="B41:B45"/>
    <mergeCell ref="G42:K42"/>
    <mergeCell ref="G43:K43"/>
    <mergeCell ref="B32:B35"/>
    <mergeCell ref="G32:K32"/>
    <mergeCell ref="G33:K33"/>
    <mergeCell ref="G34:K34"/>
    <mergeCell ref="G35:K35"/>
    <mergeCell ref="G44:K44"/>
    <mergeCell ref="G45:K45"/>
    <mergeCell ref="G41:K41"/>
    <mergeCell ref="G23:K23"/>
    <mergeCell ref="B36:B40"/>
    <mergeCell ref="G36:K36"/>
    <mergeCell ref="G38:K38"/>
    <mergeCell ref="G40:K40"/>
    <mergeCell ref="B24:D24"/>
    <mergeCell ref="G24:K24"/>
    <mergeCell ref="B25:B31"/>
    <mergeCell ref="G25:K25"/>
    <mergeCell ref="G26:K26"/>
    <mergeCell ref="G27:K27"/>
    <mergeCell ref="G28:K28"/>
    <mergeCell ref="G30:K30"/>
    <mergeCell ref="G31:J31"/>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I14:J14"/>
    <mergeCell ref="B1:D2"/>
    <mergeCell ref="C3:D3"/>
    <mergeCell ref="C4:D4"/>
    <mergeCell ref="H4:J4"/>
    <mergeCell ref="C5:D5"/>
    <mergeCell ref="B7:B9"/>
    <mergeCell ref="C7:D7"/>
    <mergeCell ref="C8:D9"/>
    <mergeCell ref="C11:D11"/>
    <mergeCell ref="C12:D12"/>
    <mergeCell ref="C13:D13"/>
    <mergeCell ref="C14:D14"/>
    <mergeCell ref="G14:H14"/>
  </mergeCells>
  <conditionalFormatting sqref="E17:E23">
    <cfRule type="notContainsText" dxfId="31" priority="9" operator="notContains" text="YES">
      <formula>ISERROR(SEARCH("YES",E17))</formula>
    </cfRule>
  </conditionalFormatting>
  <conditionalFormatting sqref="E43:E53">
    <cfRule type="containsText" dxfId="30" priority="7" operator="containsText" text="No">
      <formula>NOT(ISERROR(SEARCH("No",E43)))</formula>
    </cfRule>
  </conditionalFormatting>
  <conditionalFormatting sqref="E25:F42">
    <cfRule type="containsText" dxfId="29" priority="8" operator="containsText" text="No">
      <formula>NOT(ISERROR(SEARCH("No",E25)))</formula>
    </cfRule>
  </conditionalFormatting>
  <conditionalFormatting sqref="H4:J4">
    <cfRule type="cellIs" dxfId="28" priority="1" operator="equal">
      <formula>"NO PASA"</formula>
    </cfRule>
    <cfRule type="cellIs" dxfId="27" priority="2" operator="equal">
      <formula>"NO PASA"</formula>
    </cfRule>
    <cfRule type="cellIs" dxfId="26" priority="3" operator="equal">
      <formula>"PASA"</formula>
    </cfRule>
    <cfRule type="cellIs" dxfId="25" priority="4" operator="equal">
      <formula>"PASA"</formula>
    </cfRule>
    <cfRule type="cellIs" dxfId="24" priority="5" operator="equal">
      <formula>"NO PASA"</formula>
    </cfRule>
    <cfRule type="containsText" dxfId="23" priority="6" operator="containsText" text="PASA">
      <formula>NOT(ISERROR(SEARCH("PASA",H4)))</formula>
    </cfRule>
    <cfRule type="cellIs" dxfId="22" priority="13" operator="equal">
      <formula>$BC$7</formula>
    </cfRule>
    <cfRule type="cellIs" dxfId="21" priority="14" operator="equal">
      <formula>$BC$6</formula>
    </cfRule>
    <cfRule type="cellIs" dxfId="20" priority="15" operator="equal">
      <formula>$BC$4</formula>
    </cfRule>
  </conditionalFormatting>
  <conditionalFormatting sqref="I14">
    <cfRule type="cellIs" dxfId="19" priority="10" operator="greaterThanOrEqual">
      <formula>0.9</formula>
    </cfRule>
    <cfRule type="cellIs" dxfId="18" priority="11" operator="between">
      <formula>0.71</formula>
      <formula>0.9</formula>
    </cfRule>
    <cfRule type="cellIs" dxfId="17" priority="12" operator="lessThan">
      <formula>0.71</formula>
    </cfRule>
  </conditionalFormatting>
  <dataValidations count="3">
    <dataValidation type="list" allowBlank="1" showInputMessage="1" showErrorMessage="1" sqref="E38:E39 E50:E51" xr:uid="{00000000-0002-0000-2400-000000000000}">
      <formula1>"Yes,No,NA"</formula1>
    </dataValidation>
    <dataValidation type="list" allowBlank="1" showInputMessage="1" showErrorMessage="1" sqref="E52:E53 E25:E37 E40:E49" xr:uid="{00000000-0002-0000-2400-000001000000}">
      <formula1>"Yes,No"</formula1>
    </dataValidation>
    <dataValidation type="list" allowBlank="1" showInputMessage="1" showErrorMessage="1" sqref="E17:E23" xr:uid="{00000000-0002-0000-2400-000002000000}">
      <formula1>"Yes,No,Cured in Moment"</formula1>
    </dataValidation>
  </dataValidation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C00000"/>
  </sheetPr>
  <dimension ref="B1:H103"/>
  <sheetViews>
    <sheetView zoomScale="50" zoomScaleNormal="50" workbookViewId="0">
      <selection activeCell="D9" sqref="D9"/>
    </sheetView>
  </sheetViews>
  <sheetFormatPr baseColWidth="10" defaultColWidth="8.85546875" defaultRowHeight="18"/>
  <cols>
    <col min="1" max="1" width="4.42578125" style="124" customWidth="1"/>
    <col min="2" max="2" width="40.140625" style="122"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59.25" customHeight="1">
      <c r="B7" s="295" t="s">
        <v>440</v>
      </c>
      <c r="C7" s="130" t="s">
        <v>386</v>
      </c>
      <c r="D7" s="284">
        <v>46295</v>
      </c>
      <c r="E7" s="130"/>
      <c r="F7" s="134"/>
    </row>
    <row r="8" spans="2:8" ht="66.75" customHeight="1">
      <c r="B8" s="297" t="s">
        <v>441</v>
      </c>
      <c r="C8" s="130" t="s">
        <v>386</v>
      </c>
      <c r="D8" s="284">
        <v>46295</v>
      </c>
      <c r="E8" s="127"/>
      <c r="F8" s="135"/>
    </row>
    <row r="9" spans="2:8" ht="77.25" customHeight="1">
      <c r="B9" s="297" t="s">
        <v>442</v>
      </c>
      <c r="C9" s="130" t="s">
        <v>386</v>
      </c>
      <c r="D9" s="284">
        <v>46295</v>
      </c>
      <c r="E9" s="127"/>
      <c r="F9" s="136"/>
    </row>
    <row r="10" spans="2:8" ht="71.25" customHeight="1">
      <c r="B10" s="295"/>
      <c r="C10" s="130"/>
      <c r="D10" s="284"/>
      <c r="E10" s="131"/>
      <c r="F10" s="136"/>
    </row>
    <row r="11" spans="2:8" ht="39.950000000000003" customHeight="1">
      <c r="B11" s="302"/>
      <c r="C11" s="130"/>
      <c r="D11" s="284"/>
      <c r="E11" s="131"/>
      <c r="F11" s="136"/>
    </row>
    <row r="12" spans="2:8" ht="44.1" customHeight="1">
      <c r="B12" s="302"/>
      <c r="C12" s="130"/>
      <c r="D12" s="131"/>
      <c r="E12" s="131"/>
      <c r="F12" s="136"/>
    </row>
    <row r="13" spans="2:8" s="126" customFormat="1" ht="30.95" customHeight="1">
      <c r="B13" s="302"/>
      <c r="C13" s="131"/>
      <c r="D13" s="131"/>
      <c r="E13" s="131"/>
      <c r="F13" s="136"/>
    </row>
    <row r="14" spans="2:8" ht="39.950000000000003" customHeight="1">
      <c r="B14" s="302"/>
      <c r="C14" s="131"/>
      <c r="D14" s="131"/>
      <c r="E14" s="131"/>
      <c r="F14" s="136"/>
    </row>
    <row r="15" spans="2:8" ht="39.950000000000003" customHeight="1">
      <c r="B15" s="141"/>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316</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32:F32"/>
    <mergeCell ref="B33:F33"/>
    <mergeCell ref="B34:B35"/>
    <mergeCell ref="C34:C35"/>
    <mergeCell ref="D34:D35"/>
    <mergeCell ref="E34:E35"/>
    <mergeCell ref="F34:F35"/>
    <mergeCell ref="B18:F18"/>
    <mergeCell ref="B19:F19"/>
    <mergeCell ref="B20:B21"/>
    <mergeCell ref="C20:C21"/>
    <mergeCell ref="D20:D21"/>
    <mergeCell ref="E20:E21"/>
    <mergeCell ref="F20:F21"/>
    <mergeCell ref="B2:E2"/>
    <mergeCell ref="B3:F3"/>
    <mergeCell ref="B4:F4"/>
    <mergeCell ref="B5:B6"/>
    <mergeCell ref="C5:C6"/>
    <mergeCell ref="D5:D6"/>
    <mergeCell ref="E5:E6"/>
    <mergeCell ref="F5:F6"/>
  </mergeCells>
  <conditionalFormatting sqref="F31">
    <cfRule type="expression" dxfId="16" priority="1" stopIfTrue="1">
      <formula>IF($E31="NA",TRUE,FALSE)</formula>
    </cfRule>
  </conditionalFormatting>
  <dataValidations count="3">
    <dataValidation type="list" allowBlank="1" showInputMessage="1" showErrorMessage="1" sqref="E31" xr:uid="{00000000-0002-0000-2500-000000000000}">
      <formula1>"Yes,No,NA"</formula1>
    </dataValidation>
    <dataValidation type="list" allowBlank="1" showInputMessage="1" showErrorMessage="1" sqref="E17" xr:uid="{00000000-0002-0000-2500-000001000000}">
      <formula1>"Yes,No"</formula1>
    </dataValidation>
    <dataValidation type="list" allowBlank="1" showInputMessage="1" showErrorMessage="1" sqref="E5:E6 E20:E21 E34:E35" xr:uid="{00000000-0002-0000-2500-000002000000}">
      <formula1>"Yes,No,Cured in Moment"</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tint="0.79998168889431442"/>
  </sheetPr>
  <dimension ref="B1:BF56"/>
  <sheetViews>
    <sheetView topLeftCell="A16" zoomScale="60" zoomScaleNormal="60" workbookViewId="0">
      <selection activeCell="E12" sqref="E12"/>
    </sheetView>
  </sheetViews>
  <sheetFormatPr baseColWidth="10" defaultColWidth="8.85546875" defaultRowHeight="18"/>
  <cols>
    <col min="1" max="1" width="4.42578125" style="124" customWidth="1"/>
    <col min="2" max="2" width="28.140625" style="122" customWidth="1"/>
    <col min="3" max="3" width="5.42578125" style="129" bestFit="1" customWidth="1"/>
    <col min="4" max="4" width="139.5703125" style="128" customWidth="1"/>
    <col min="5" max="5" width="18" style="123" customWidth="1"/>
    <col min="6" max="6" width="12.5703125" style="123" customWidth="1"/>
    <col min="7" max="7" width="22.5703125" style="124" customWidth="1"/>
    <col min="8" max="8" width="19.85546875" style="124" customWidth="1"/>
    <col min="9" max="9" width="19.28515625" style="124" customWidth="1"/>
    <col min="10" max="10" width="20.140625" style="124" customWidth="1"/>
    <col min="11" max="11" width="9.5703125" style="124" bestFit="1" customWidth="1"/>
    <col min="12" max="18" width="8.85546875" style="124"/>
    <col min="22" max="22" width="8.85546875" style="123"/>
    <col min="23" max="52" width="8.85546875" style="124"/>
    <col min="53" max="53" width="8.85546875" style="221"/>
    <col min="54" max="54" width="8.85546875" style="123"/>
    <col min="55" max="55" width="12.140625" style="123" bestFit="1" customWidth="1"/>
    <col min="56" max="16384" width="8.85546875" style="124"/>
  </cols>
  <sheetData>
    <row r="1" spans="2:55" ht="18" customHeight="1">
      <c r="B1" s="505" t="s">
        <v>241</v>
      </c>
      <c r="C1" s="505"/>
      <c r="D1" s="505"/>
    </row>
    <row r="2" spans="2:55" ht="39.950000000000003" customHeight="1" thickBot="1">
      <c r="B2" s="506"/>
      <c r="C2" s="506"/>
      <c r="D2" s="506"/>
    </row>
    <row r="3" spans="2:55" ht="60.75" customHeight="1" thickBot="1">
      <c r="B3" s="210" t="s">
        <v>208</v>
      </c>
      <c r="C3" s="546"/>
      <c r="D3" s="547"/>
      <c r="E3" s="161"/>
      <c r="G3" s="220"/>
      <c r="H3" s="220"/>
      <c r="I3" s="220"/>
      <c r="J3" s="220"/>
    </row>
    <row r="4" spans="2:55" ht="114" customHeight="1" thickBot="1">
      <c r="B4" s="211" t="s">
        <v>275</v>
      </c>
      <c r="C4" s="548"/>
      <c r="D4" s="549"/>
      <c r="E4" s="150"/>
      <c r="G4" s="186" t="s">
        <v>11</v>
      </c>
      <c r="H4" s="511" t="str">
        <f>IF(COUNTIF(BB6,"0")&gt;0,"PASA","NO PASA")</f>
        <v>PASA</v>
      </c>
      <c r="I4" s="512"/>
      <c r="J4" s="513"/>
      <c r="BA4" s="221" t="s">
        <v>174</v>
      </c>
      <c r="BB4" s="123">
        <f>COUNTIF(E17:F23,BA4)</f>
        <v>0</v>
      </c>
      <c r="BC4" s="225" t="s">
        <v>262</v>
      </c>
    </row>
    <row r="5" spans="2:55" ht="55.5" customHeight="1" thickBot="1">
      <c r="B5" s="236" t="s">
        <v>203</v>
      </c>
      <c r="C5" s="550"/>
      <c r="D5" s="551"/>
      <c r="G5" s="228" t="s">
        <v>198</v>
      </c>
      <c r="H5" s="185" t="s">
        <v>3</v>
      </c>
      <c r="I5" s="229" t="s">
        <v>4</v>
      </c>
      <c r="J5" s="230" t="s">
        <v>5</v>
      </c>
      <c r="BC5" s="225"/>
    </row>
    <row r="6" spans="2:55" ht="48" customHeight="1" thickBot="1">
      <c r="C6" s="122"/>
      <c r="E6" s="128"/>
      <c r="G6" s="187" t="s">
        <v>254</v>
      </c>
      <c r="H6" s="160">
        <v>31</v>
      </c>
      <c r="I6" s="160">
        <f>SUM(F25:F31)</f>
        <v>31</v>
      </c>
      <c r="J6" s="167">
        <f t="shared" ref="J6:J9" si="0">I6/H6</f>
        <v>1</v>
      </c>
      <c r="BA6" s="221" t="s">
        <v>193</v>
      </c>
      <c r="BB6" s="123">
        <f>COUNTIF(E17:F23,BA6)</f>
        <v>0</v>
      </c>
      <c r="BC6" s="225" t="s">
        <v>263</v>
      </c>
    </row>
    <row r="7" spans="2:55" ht="48" customHeight="1" thickBot="1">
      <c r="B7" s="438" t="s">
        <v>243</v>
      </c>
      <c r="C7" s="516" t="s">
        <v>252</v>
      </c>
      <c r="D7" s="517"/>
      <c r="E7" s="164"/>
      <c r="G7" s="168" t="s">
        <v>199</v>
      </c>
      <c r="H7" s="169">
        <v>18</v>
      </c>
      <c r="I7" s="169">
        <f>SUM(F32:F35)</f>
        <v>18</v>
      </c>
      <c r="J7" s="170">
        <f t="shared" si="0"/>
        <v>1</v>
      </c>
      <c r="BA7" s="224" t="s">
        <v>261</v>
      </c>
      <c r="BB7" s="123">
        <f>COUNTIF(E17:F23,BA7)</f>
        <v>0</v>
      </c>
      <c r="BC7" s="225" t="s">
        <v>264</v>
      </c>
    </row>
    <row r="8" spans="2:55" ht="48" customHeight="1" thickBot="1">
      <c r="B8" s="439"/>
      <c r="C8" s="518" t="s">
        <v>253</v>
      </c>
      <c r="D8" s="519"/>
      <c r="E8" s="165"/>
      <c r="G8" s="187" t="s">
        <v>200</v>
      </c>
      <c r="H8" s="160">
        <v>31</v>
      </c>
      <c r="I8" s="160">
        <f>SUM(F36:F40)</f>
        <v>31</v>
      </c>
      <c r="J8" s="167">
        <f t="shared" si="0"/>
        <v>1</v>
      </c>
      <c r="R8" s="237"/>
    </row>
    <row r="9" spans="2:55" ht="63" customHeight="1" thickBot="1">
      <c r="B9" s="440"/>
      <c r="C9" s="520"/>
      <c r="D9" s="521"/>
      <c r="E9" s="165"/>
      <c r="G9" s="168" t="s">
        <v>255</v>
      </c>
      <c r="H9" s="169">
        <v>19</v>
      </c>
      <c r="I9" s="169">
        <f>SUM(F41:F45)</f>
        <v>19</v>
      </c>
      <c r="J9" s="170">
        <f t="shared" si="0"/>
        <v>1</v>
      </c>
    </row>
    <row r="10" spans="2:55" ht="48" customHeight="1" thickBot="1">
      <c r="B10" s="163"/>
      <c r="C10" s="163"/>
      <c r="D10" s="162"/>
      <c r="E10" s="166"/>
      <c r="G10" s="187" t="s">
        <v>242</v>
      </c>
      <c r="H10" s="160">
        <v>13</v>
      </c>
      <c r="I10" s="160">
        <f>SUM(F46:F48)</f>
        <v>13</v>
      </c>
      <c r="J10" s="171">
        <f>I10/H10</f>
        <v>1</v>
      </c>
    </row>
    <row r="11" spans="2:55" ht="48" customHeight="1" thickBot="1">
      <c r="B11" s="210" t="s">
        <v>248</v>
      </c>
      <c r="C11" s="522" t="s">
        <v>251</v>
      </c>
      <c r="D11" s="523"/>
      <c r="E11" s="128"/>
      <c r="G11" s="168" t="s">
        <v>256</v>
      </c>
      <c r="H11" s="169">
        <v>5</v>
      </c>
      <c r="I11" s="169">
        <f>SUM(F49:F53)</f>
        <v>5</v>
      </c>
      <c r="J11" s="170">
        <f t="shared" ref="J11:J12" si="1">I11/H11</f>
        <v>1</v>
      </c>
    </row>
    <row r="12" spans="2:55" ht="72.75" customHeight="1" thickBot="1">
      <c r="B12" s="219" t="s">
        <v>244</v>
      </c>
      <c r="C12" s="524" t="s">
        <v>246</v>
      </c>
      <c r="D12" s="525"/>
      <c r="E12" s="166"/>
      <c r="G12" s="198" t="s">
        <v>271</v>
      </c>
      <c r="H12" s="199">
        <f>SUM(H6:H11)</f>
        <v>117</v>
      </c>
      <c r="I12" s="199">
        <f>SUM(I6:I11)</f>
        <v>117</v>
      </c>
      <c r="J12" s="200">
        <f t="shared" si="1"/>
        <v>1</v>
      </c>
    </row>
    <row r="13" spans="2:55" ht="82.5" customHeight="1" thickBot="1">
      <c r="B13" s="183" t="s">
        <v>245</v>
      </c>
      <c r="C13" s="524" t="s">
        <v>249</v>
      </c>
      <c r="D13" s="525"/>
      <c r="J13" s="159"/>
    </row>
    <row r="14" spans="2:55" ht="82.5" customHeight="1" thickBot="1">
      <c r="B14" s="184" t="s">
        <v>247</v>
      </c>
      <c r="C14" s="526" t="s">
        <v>250</v>
      </c>
      <c r="D14" s="527"/>
      <c r="G14" s="528" t="s">
        <v>260</v>
      </c>
      <c r="H14" s="529"/>
      <c r="I14" s="503">
        <f>J12</f>
        <v>1</v>
      </c>
      <c r="J14" s="504"/>
    </row>
    <row r="15" spans="2:55" ht="41.1" customHeight="1" thickBot="1"/>
    <row r="16" spans="2:55" ht="45.95" customHeight="1" thickBot="1">
      <c r="B16" s="477" t="s">
        <v>11</v>
      </c>
      <c r="C16" s="478"/>
      <c r="D16" s="478"/>
      <c r="E16" s="477" t="s">
        <v>195</v>
      </c>
      <c r="F16" s="479"/>
      <c r="G16" s="477" t="s">
        <v>9</v>
      </c>
      <c r="H16" s="478"/>
      <c r="I16" s="478"/>
      <c r="J16" s="478"/>
      <c r="K16" s="479"/>
      <c r="M16" s="124" t="s">
        <v>201</v>
      </c>
    </row>
    <row r="17" spans="2:58" s="172" customFormat="1" ht="45.95" customHeight="1">
      <c r="B17" s="438" t="s">
        <v>11</v>
      </c>
      <c r="C17" s="214">
        <v>1</v>
      </c>
      <c r="D17" s="215" t="s">
        <v>209</v>
      </c>
      <c r="E17" s="486" t="s">
        <v>266</v>
      </c>
      <c r="F17" s="487"/>
      <c r="G17" s="488"/>
      <c r="H17" s="489"/>
      <c r="I17" s="489"/>
      <c r="J17" s="489"/>
      <c r="K17" s="490"/>
      <c r="V17" s="122"/>
      <c r="AY17" s="172" t="str">
        <f>E17</f>
        <v>Yes</v>
      </c>
      <c r="BA17" s="221" t="s">
        <v>174</v>
      </c>
      <c r="BB17" s="123">
        <f>COUNTIF(AY17:AY23,BA17)</f>
        <v>0</v>
      </c>
      <c r="BC17" s="225" t="s">
        <v>262</v>
      </c>
    </row>
    <row r="18" spans="2:58" s="172" customFormat="1" ht="45.95" customHeight="1">
      <c r="B18" s="439"/>
      <c r="C18" s="216">
        <v>2</v>
      </c>
      <c r="D18" s="217" t="s">
        <v>210</v>
      </c>
      <c r="E18" s="491" t="s">
        <v>266</v>
      </c>
      <c r="F18" s="492"/>
      <c r="G18" s="493"/>
      <c r="H18" s="494"/>
      <c r="I18" s="494"/>
      <c r="J18" s="494"/>
      <c r="K18" s="495"/>
      <c r="V18" s="122"/>
      <c r="AY18" s="172" t="str">
        <f t="shared" ref="AY18:AY23" si="2">E18</f>
        <v>Yes</v>
      </c>
      <c r="BA18" s="221" t="s">
        <v>193</v>
      </c>
      <c r="BB18" s="123">
        <f>COUNTIF(AY17:AY23,BA18)</f>
        <v>0</v>
      </c>
      <c r="BC18" s="225" t="s">
        <v>263</v>
      </c>
    </row>
    <row r="19" spans="2:58" s="172" customFormat="1" ht="45.95" customHeight="1">
      <c r="B19" s="439"/>
      <c r="C19" s="214">
        <v>3</v>
      </c>
      <c r="D19" s="215" t="s">
        <v>211</v>
      </c>
      <c r="E19" s="496" t="s">
        <v>266</v>
      </c>
      <c r="F19" s="497"/>
      <c r="G19" s="498"/>
      <c r="H19" s="499"/>
      <c r="I19" s="499"/>
      <c r="J19" s="499"/>
      <c r="K19" s="500"/>
      <c r="V19" s="122"/>
      <c r="AY19" s="172" t="str">
        <f t="shared" si="2"/>
        <v>Yes</v>
      </c>
      <c r="BA19" s="224" t="s">
        <v>261</v>
      </c>
      <c r="BB19" s="123">
        <f>COUNTIF(AY17:AY23,BA19)</f>
        <v>0</v>
      </c>
      <c r="BC19" s="225" t="s">
        <v>264</v>
      </c>
    </row>
    <row r="20" spans="2:58" s="172" customFormat="1" ht="45.95" customHeight="1">
      <c r="B20" s="439"/>
      <c r="C20" s="216">
        <v>4</v>
      </c>
      <c r="D20" s="217" t="s">
        <v>212</v>
      </c>
      <c r="E20" s="491" t="s">
        <v>266</v>
      </c>
      <c r="F20" s="492"/>
      <c r="K20" s="173"/>
      <c r="V20" s="122"/>
      <c r="AY20" s="172" t="str">
        <f t="shared" si="2"/>
        <v>Yes</v>
      </c>
      <c r="BA20" s="222"/>
      <c r="BB20" s="122"/>
      <c r="BC20" s="122"/>
    </row>
    <row r="21" spans="2:58" s="172" customFormat="1" ht="45.95" customHeight="1">
      <c r="B21" s="439"/>
      <c r="C21" s="214">
        <v>5</v>
      </c>
      <c r="D21" s="215" t="s">
        <v>213</v>
      </c>
      <c r="E21" s="496" t="s">
        <v>266</v>
      </c>
      <c r="F21" s="497"/>
      <c r="G21" s="493"/>
      <c r="H21" s="494"/>
      <c r="I21" s="494"/>
      <c r="J21" s="494"/>
      <c r="K21" s="495"/>
      <c r="V21" s="122"/>
      <c r="BA21" s="222"/>
      <c r="BB21" s="122"/>
      <c r="BC21" s="122"/>
    </row>
    <row r="22" spans="2:58" s="172" customFormat="1" ht="45.95" customHeight="1">
      <c r="B22" s="439"/>
      <c r="C22" s="216">
        <v>6</v>
      </c>
      <c r="D22" s="217" t="s">
        <v>214</v>
      </c>
      <c r="E22" s="491" t="s">
        <v>266</v>
      </c>
      <c r="F22" s="492"/>
      <c r="G22" s="493"/>
      <c r="H22" s="494"/>
      <c r="I22" s="494"/>
      <c r="J22" s="494"/>
      <c r="K22" s="495"/>
      <c r="V22" s="122"/>
      <c r="AY22" s="172" t="str">
        <f t="shared" si="2"/>
        <v>Yes</v>
      </c>
      <c r="BA22" s="222"/>
      <c r="BB22" s="122"/>
      <c r="BC22" s="122"/>
    </row>
    <row r="23" spans="2:58" s="126" customFormat="1" ht="45.95" customHeight="1" thickBot="1">
      <c r="B23" s="439"/>
      <c r="C23" s="226">
        <v>7</v>
      </c>
      <c r="D23" s="218" t="s">
        <v>215</v>
      </c>
      <c r="E23" s="501" t="s">
        <v>266</v>
      </c>
      <c r="F23" s="502"/>
      <c r="G23" s="468"/>
      <c r="H23" s="469"/>
      <c r="I23" s="469"/>
      <c r="J23" s="469"/>
      <c r="K23" s="470"/>
      <c r="V23" s="220"/>
      <c r="AY23" s="172" t="str">
        <f t="shared" si="2"/>
        <v>Yes</v>
      </c>
      <c r="BA23" s="223"/>
      <c r="BB23" s="122"/>
      <c r="BC23" s="122"/>
      <c r="BD23" s="172"/>
      <c r="BF23" s="172"/>
    </row>
    <row r="24" spans="2:58" ht="45.95" customHeight="1" thickBot="1">
      <c r="B24" s="477" t="s">
        <v>196</v>
      </c>
      <c r="C24" s="478"/>
      <c r="D24" s="478"/>
      <c r="E24" s="185" t="s">
        <v>195</v>
      </c>
      <c r="F24" s="188" t="s">
        <v>197</v>
      </c>
      <c r="G24" s="478" t="s">
        <v>9</v>
      </c>
      <c r="H24" s="478"/>
      <c r="I24" s="478"/>
      <c r="J24" s="478"/>
      <c r="K24" s="479"/>
    </row>
    <row r="25" spans="2:58" ht="63.75" customHeight="1">
      <c r="B25" s="439" t="s">
        <v>254</v>
      </c>
      <c r="C25" s="174">
        <v>1</v>
      </c>
      <c r="D25" s="191" t="s">
        <v>259</v>
      </c>
      <c r="E25" s="175" t="s">
        <v>266</v>
      </c>
      <c r="F25" s="176">
        <f>IF(E25="Yes",5,0)</f>
        <v>5</v>
      </c>
      <c r="G25" s="450"/>
      <c r="H25" s="451"/>
      <c r="I25" s="451"/>
      <c r="J25" s="451"/>
      <c r="K25" s="452"/>
    </row>
    <row r="26" spans="2:58" ht="45.95" customHeight="1">
      <c r="B26" s="439"/>
      <c r="C26" s="127">
        <v>2</v>
      </c>
      <c r="D26" s="192" t="s">
        <v>219</v>
      </c>
      <c r="E26" s="140" t="s">
        <v>266</v>
      </c>
      <c r="F26" s="135">
        <f>IF(E26="Yes",5,0)</f>
        <v>5</v>
      </c>
      <c r="G26" s="453"/>
      <c r="H26" s="454"/>
      <c r="I26" s="454"/>
      <c r="J26" s="454"/>
      <c r="K26" s="455"/>
    </row>
    <row r="27" spans="2:58" ht="45.95" customHeight="1">
      <c r="B27" s="439"/>
      <c r="C27" s="143">
        <v>3</v>
      </c>
      <c r="D27" s="193" t="s">
        <v>216</v>
      </c>
      <c r="E27" s="177" t="s">
        <v>266</v>
      </c>
      <c r="F27" s="178">
        <f>IF(E27="Yes",5,0)</f>
        <v>5</v>
      </c>
      <c r="G27" s="444"/>
      <c r="H27" s="445"/>
      <c r="I27" s="445"/>
      <c r="J27" s="445"/>
      <c r="K27" s="446"/>
    </row>
    <row r="28" spans="2:58" ht="51.75" customHeight="1">
      <c r="B28" s="439"/>
      <c r="C28" s="127">
        <v>4</v>
      </c>
      <c r="D28" s="192" t="s">
        <v>217</v>
      </c>
      <c r="E28" s="140" t="s">
        <v>266</v>
      </c>
      <c r="F28" s="135">
        <f t="shared" ref="F28:F32" si="3">IF(E28="Yes",1,0)</f>
        <v>1</v>
      </c>
      <c r="G28" s="453"/>
      <c r="H28" s="454"/>
      <c r="I28" s="454"/>
      <c r="J28" s="454"/>
      <c r="K28" s="455"/>
    </row>
    <row r="29" spans="2:58" ht="50.25" customHeight="1">
      <c r="B29" s="439"/>
      <c r="C29" s="151">
        <v>5</v>
      </c>
      <c r="D29" s="193" t="s">
        <v>218</v>
      </c>
      <c r="E29" s="177" t="s">
        <v>266</v>
      </c>
      <c r="F29" s="178">
        <f t="shared" si="3"/>
        <v>1</v>
      </c>
      <c r="G29" s="144"/>
      <c r="H29" s="145"/>
      <c r="I29" s="145"/>
      <c r="J29" s="145"/>
      <c r="K29" s="146"/>
    </row>
    <row r="30" spans="2:58" ht="47.25" customHeight="1">
      <c r="B30" s="439"/>
      <c r="C30" s="131">
        <v>6</v>
      </c>
      <c r="D30" s="192" t="s">
        <v>220</v>
      </c>
      <c r="E30" s="140" t="s">
        <v>266</v>
      </c>
      <c r="F30" s="135">
        <f>IF(E30="Yes",7,0)</f>
        <v>7</v>
      </c>
      <c r="G30" s="152"/>
      <c r="H30" s="153"/>
      <c r="I30" s="153"/>
      <c r="J30" s="153"/>
      <c r="K30" s="154"/>
    </row>
    <row r="31" spans="2:58" ht="48.75" customHeight="1" thickBot="1">
      <c r="B31" s="440"/>
      <c r="C31" s="158">
        <v>7</v>
      </c>
      <c r="D31" s="194" t="s">
        <v>221</v>
      </c>
      <c r="E31" s="179" t="s">
        <v>266</v>
      </c>
      <c r="F31" s="180">
        <f>IF(E31="Yes",7,0)</f>
        <v>7</v>
      </c>
      <c r="G31" s="155"/>
      <c r="H31" s="156"/>
      <c r="I31" s="156"/>
      <c r="J31" s="156"/>
      <c r="K31" s="157"/>
    </row>
    <row r="32" spans="2:58" ht="48.75" customHeight="1">
      <c r="B32" s="438" t="s">
        <v>257</v>
      </c>
      <c r="C32" s="227">
        <v>1</v>
      </c>
      <c r="D32" s="206" t="s">
        <v>222</v>
      </c>
      <c r="E32" s="181" t="s">
        <v>266</v>
      </c>
      <c r="F32" s="182">
        <f t="shared" si="3"/>
        <v>1</v>
      </c>
      <c r="G32" s="456"/>
      <c r="H32" s="457"/>
      <c r="I32" s="457"/>
      <c r="J32" s="457"/>
      <c r="K32" s="458"/>
    </row>
    <row r="33" spans="2:11" ht="45.95" customHeight="1">
      <c r="B33" s="439"/>
      <c r="C33" s="143">
        <v>2</v>
      </c>
      <c r="D33" s="203" t="s">
        <v>223</v>
      </c>
      <c r="E33" s="177" t="s">
        <v>266</v>
      </c>
      <c r="F33" s="178">
        <f>IF(E33="Yes",5,0)</f>
        <v>5</v>
      </c>
      <c r="G33" s="444"/>
      <c r="H33" s="445"/>
      <c r="I33" s="445"/>
      <c r="J33" s="445"/>
      <c r="K33" s="446"/>
    </row>
    <row r="34" spans="2:11" ht="45.95" customHeight="1">
      <c r="B34" s="439"/>
      <c r="C34" s="131">
        <v>3</v>
      </c>
      <c r="D34" s="202" t="s">
        <v>224</v>
      </c>
      <c r="E34" s="140" t="s">
        <v>266</v>
      </c>
      <c r="F34" s="135">
        <f>IF(E34="Yes",5,0)</f>
        <v>5</v>
      </c>
      <c r="G34" s="453"/>
      <c r="H34" s="454"/>
      <c r="I34" s="454"/>
      <c r="J34" s="454"/>
      <c r="K34" s="455"/>
    </row>
    <row r="35" spans="2:11" ht="48.75" customHeight="1" thickBot="1">
      <c r="B35" s="440"/>
      <c r="C35" s="158">
        <v>4</v>
      </c>
      <c r="D35" s="207" t="s">
        <v>225</v>
      </c>
      <c r="E35" s="179" t="s">
        <v>266</v>
      </c>
      <c r="F35" s="180">
        <f>IF(E35="Yes",7,0)</f>
        <v>7</v>
      </c>
      <c r="G35" s="459"/>
      <c r="H35" s="460"/>
      <c r="I35" s="460"/>
      <c r="J35" s="460"/>
      <c r="K35" s="461"/>
    </row>
    <row r="36" spans="2:11" ht="45.95" customHeight="1">
      <c r="B36" s="439" t="s">
        <v>200</v>
      </c>
      <c r="C36" s="130">
        <v>1</v>
      </c>
      <c r="D36" s="208" t="s">
        <v>272</v>
      </c>
      <c r="E36" s="181" t="s">
        <v>266</v>
      </c>
      <c r="F36" s="182">
        <f>IF(E36="Yes",7,0)</f>
        <v>7</v>
      </c>
      <c r="G36" s="471"/>
      <c r="H36" s="472"/>
      <c r="I36" s="472"/>
      <c r="J36" s="472"/>
      <c r="K36" s="473"/>
    </row>
    <row r="37" spans="2:11" ht="45.95" customHeight="1">
      <c r="B37" s="439"/>
      <c r="C37" s="174">
        <v>2</v>
      </c>
      <c r="D37" s="203" t="s">
        <v>226</v>
      </c>
      <c r="E37" s="177" t="s">
        <v>266</v>
      </c>
      <c r="F37" s="178">
        <f>IF(E37="Yes",5,0)</f>
        <v>5</v>
      </c>
      <c r="G37" s="195"/>
      <c r="H37" s="196"/>
      <c r="I37" s="196"/>
      <c r="J37" s="196"/>
      <c r="K37" s="197"/>
    </row>
    <row r="38" spans="2:11" ht="50.25" customHeight="1">
      <c r="B38" s="439"/>
      <c r="C38" s="127">
        <v>3</v>
      </c>
      <c r="D38" s="202" t="s">
        <v>228</v>
      </c>
      <c r="E38" s="140" t="s">
        <v>266</v>
      </c>
      <c r="F38" s="135">
        <f>IF(OR(E38="Yes",E38="NA"),7,0)</f>
        <v>7</v>
      </c>
      <c r="G38" s="474"/>
      <c r="H38" s="475"/>
      <c r="I38" s="475"/>
      <c r="J38" s="475"/>
      <c r="K38" s="476"/>
    </row>
    <row r="39" spans="2:11" ht="68.25" customHeight="1">
      <c r="B39" s="439"/>
      <c r="C39" s="174">
        <v>4</v>
      </c>
      <c r="D39" s="203" t="s">
        <v>273</v>
      </c>
      <c r="E39" s="177" t="s">
        <v>266</v>
      </c>
      <c r="F39" s="178">
        <f>IF(OR(E39="Yes",E39="NA"),7,0)</f>
        <v>7</v>
      </c>
      <c r="G39" s="195"/>
      <c r="H39" s="196"/>
      <c r="I39" s="196"/>
      <c r="J39" s="196"/>
      <c r="K39" s="197"/>
    </row>
    <row r="40" spans="2:11" ht="45.95" customHeight="1" thickBot="1">
      <c r="B40" s="439"/>
      <c r="C40" s="132">
        <v>5</v>
      </c>
      <c r="D40" s="209" t="s">
        <v>227</v>
      </c>
      <c r="E40" s="142" t="s">
        <v>266</v>
      </c>
      <c r="F40" s="137">
        <f>IF(E40="Yes",5,0)</f>
        <v>5</v>
      </c>
      <c r="G40" s="447"/>
      <c r="H40" s="448"/>
      <c r="I40" s="448"/>
      <c r="J40" s="448"/>
      <c r="K40" s="449"/>
    </row>
    <row r="41" spans="2:11" ht="50.25" customHeight="1">
      <c r="B41" s="438" t="s">
        <v>255</v>
      </c>
      <c r="C41" s="174">
        <v>1</v>
      </c>
      <c r="D41" s="201" t="s">
        <v>229</v>
      </c>
      <c r="E41" s="175" t="s">
        <v>266</v>
      </c>
      <c r="F41" s="176">
        <f>IF(E41="Yes",5,0)</f>
        <v>5</v>
      </c>
      <c r="G41" s="149"/>
      <c r="H41" s="147"/>
      <c r="I41" s="147"/>
      <c r="J41" s="147"/>
      <c r="K41" s="148"/>
    </row>
    <row r="42" spans="2:11" ht="47.25" customHeight="1">
      <c r="B42" s="439"/>
      <c r="C42" s="127">
        <v>2</v>
      </c>
      <c r="D42" s="202" t="s">
        <v>237</v>
      </c>
      <c r="E42" s="140" t="s">
        <v>266</v>
      </c>
      <c r="F42" s="135">
        <f>IF(E42="Yes",5,0)</f>
        <v>5</v>
      </c>
      <c r="G42" s="453"/>
      <c r="H42" s="454"/>
      <c r="I42" s="454"/>
      <c r="J42" s="454"/>
      <c r="K42" s="455"/>
    </row>
    <row r="43" spans="2:11" ht="45.95" customHeight="1">
      <c r="B43" s="439"/>
      <c r="C43" s="143">
        <v>3</v>
      </c>
      <c r="D43" s="212" t="s">
        <v>236</v>
      </c>
      <c r="E43" s="140" t="s">
        <v>266</v>
      </c>
      <c r="F43" s="178">
        <f>IF(E43="Yes",7,0)</f>
        <v>7</v>
      </c>
      <c r="G43" s="444"/>
      <c r="H43" s="445"/>
      <c r="I43" s="445"/>
      <c r="J43" s="445"/>
      <c r="K43" s="446"/>
    </row>
    <row r="44" spans="2:11" ht="45.95" customHeight="1">
      <c r="B44" s="439"/>
      <c r="C44" s="127">
        <v>4</v>
      </c>
      <c r="D44" s="202" t="s">
        <v>235</v>
      </c>
      <c r="E44" s="140" t="s">
        <v>266</v>
      </c>
      <c r="F44" s="135">
        <f>IF(E44="Yes",1,0)</f>
        <v>1</v>
      </c>
      <c r="G44" s="453"/>
      <c r="H44" s="454"/>
      <c r="I44" s="454"/>
      <c r="J44" s="454"/>
      <c r="K44" s="455"/>
    </row>
    <row r="45" spans="2:11" ht="45.95" customHeight="1" thickBot="1">
      <c r="B45" s="440"/>
      <c r="C45" s="158">
        <v>5</v>
      </c>
      <c r="D45" s="207" t="s">
        <v>230</v>
      </c>
      <c r="E45" s="179" t="s">
        <v>266</v>
      </c>
      <c r="F45" s="180">
        <f t="shared" ref="F45:F49" si="4">IF(E45="Yes",1,0)</f>
        <v>1</v>
      </c>
      <c r="G45" s="459"/>
      <c r="H45" s="460"/>
      <c r="I45" s="460"/>
      <c r="J45" s="460"/>
      <c r="K45" s="461"/>
    </row>
    <row r="46" spans="2:11" ht="45.95" customHeight="1">
      <c r="B46" s="438" t="s">
        <v>242</v>
      </c>
      <c r="C46" s="130">
        <v>1</v>
      </c>
      <c r="D46" s="213" t="s">
        <v>238</v>
      </c>
      <c r="E46" s="140" t="s">
        <v>266</v>
      </c>
      <c r="F46" s="135">
        <f>IF(E46="Yes",7,0)</f>
        <v>7</v>
      </c>
      <c r="G46" s="441"/>
      <c r="H46" s="442"/>
      <c r="I46" s="442"/>
      <c r="J46" s="442"/>
      <c r="K46" s="443"/>
    </row>
    <row r="47" spans="2:11" ht="45.95" customHeight="1">
      <c r="B47" s="439"/>
      <c r="C47" s="143">
        <v>2</v>
      </c>
      <c r="D47" s="193" t="s">
        <v>239</v>
      </c>
      <c r="E47" s="177" t="s">
        <v>266</v>
      </c>
      <c r="F47" s="178">
        <f>IF(E47="Yes",5,0)</f>
        <v>5</v>
      </c>
      <c r="G47" s="444"/>
      <c r="H47" s="445"/>
      <c r="I47" s="445"/>
      <c r="J47" s="445"/>
      <c r="K47" s="446"/>
    </row>
    <row r="48" spans="2:11" ht="45.95" customHeight="1" thickBot="1">
      <c r="B48" s="440"/>
      <c r="C48" s="132">
        <v>3</v>
      </c>
      <c r="D48" s="205" t="s">
        <v>231</v>
      </c>
      <c r="E48" s="142" t="s">
        <v>266</v>
      </c>
      <c r="F48" s="137">
        <f>IF(E48="Yes",1,0)</f>
        <v>1</v>
      </c>
      <c r="G48" s="447"/>
      <c r="H48" s="448"/>
      <c r="I48" s="448"/>
      <c r="J48" s="448"/>
      <c r="K48" s="449"/>
    </row>
    <row r="49" spans="2:11" ht="59.25" customHeight="1">
      <c r="B49" s="439" t="s">
        <v>256</v>
      </c>
      <c r="C49" s="174">
        <v>1</v>
      </c>
      <c r="D49" s="201" t="s">
        <v>232</v>
      </c>
      <c r="E49" s="175" t="s">
        <v>266</v>
      </c>
      <c r="F49" s="176">
        <f t="shared" si="4"/>
        <v>1</v>
      </c>
      <c r="G49" s="450"/>
      <c r="H49" s="451"/>
      <c r="I49" s="451"/>
      <c r="J49" s="451"/>
      <c r="K49" s="452"/>
    </row>
    <row r="50" spans="2:11" ht="72" customHeight="1">
      <c r="B50" s="439"/>
      <c r="C50" s="127">
        <v>2</v>
      </c>
      <c r="D50" s="202" t="s">
        <v>274</v>
      </c>
      <c r="E50" s="140" t="s">
        <v>266</v>
      </c>
      <c r="F50" s="135">
        <f>IF(OR(E50="Yes",E50="NA"),1,0)</f>
        <v>1</v>
      </c>
      <c r="G50" s="453"/>
      <c r="H50" s="454"/>
      <c r="I50" s="454"/>
      <c r="J50" s="454"/>
      <c r="K50" s="455"/>
    </row>
    <row r="51" spans="2:11" ht="66" customHeight="1">
      <c r="B51" s="439"/>
      <c r="C51" s="143">
        <v>3</v>
      </c>
      <c r="D51" s="203" t="s">
        <v>233</v>
      </c>
      <c r="E51" s="177" t="s">
        <v>266</v>
      </c>
      <c r="F51" s="178">
        <f>IF(OR(E51="Yes",E51="NA"),1,0)</f>
        <v>1</v>
      </c>
      <c r="G51" s="444"/>
      <c r="H51" s="445"/>
      <c r="I51" s="445"/>
      <c r="J51" s="445"/>
      <c r="K51" s="446"/>
    </row>
    <row r="52" spans="2:11" ht="45.95" customHeight="1">
      <c r="B52" s="439"/>
      <c r="C52" s="127">
        <v>4</v>
      </c>
      <c r="D52" s="202" t="s">
        <v>240</v>
      </c>
      <c r="E52" s="140" t="s">
        <v>266</v>
      </c>
      <c r="F52" s="135">
        <f>IF(E52="Yes",1,0)</f>
        <v>1</v>
      </c>
      <c r="G52" s="453"/>
      <c r="H52" s="454"/>
      <c r="I52" s="454"/>
      <c r="J52" s="454"/>
      <c r="K52" s="455"/>
    </row>
    <row r="53" spans="2:11" ht="45.75" customHeight="1">
      <c r="B53" s="439"/>
      <c r="C53" s="151">
        <v>5</v>
      </c>
      <c r="D53" s="204" t="s">
        <v>234</v>
      </c>
      <c r="E53" s="189" t="s">
        <v>266</v>
      </c>
      <c r="F53" s="190">
        <f>IF(E53="Yes",1,0)</f>
        <v>1</v>
      </c>
      <c r="G53" s="444"/>
      <c r="H53" s="445"/>
      <c r="I53" s="445"/>
      <c r="J53" s="445"/>
      <c r="K53" s="446"/>
    </row>
    <row r="54" spans="2:11" ht="31.5" customHeight="1">
      <c r="B54" s="231"/>
      <c r="C54" s="232"/>
      <c r="D54" s="233"/>
      <c r="E54" s="234"/>
      <c r="F54" s="234"/>
      <c r="G54" s="235"/>
      <c r="H54" s="235"/>
      <c r="I54" s="235"/>
      <c r="J54" s="235"/>
      <c r="K54" s="235"/>
    </row>
    <row r="55" spans="2:11" ht="31.5" customHeight="1"/>
    <row r="56" spans="2:11" ht="31.5" customHeight="1"/>
  </sheetData>
  <mergeCells count="62">
    <mergeCell ref="B46:B48"/>
    <mergeCell ref="G46:K46"/>
    <mergeCell ref="G47:K47"/>
    <mergeCell ref="G48:K48"/>
    <mergeCell ref="B49:B53"/>
    <mergeCell ref="G49:K49"/>
    <mergeCell ref="G50:K50"/>
    <mergeCell ref="G51:K51"/>
    <mergeCell ref="G52:K52"/>
    <mergeCell ref="G53:K53"/>
    <mergeCell ref="B41:B45"/>
    <mergeCell ref="G42:K42"/>
    <mergeCell ref="G43:K43"/>
    <mergeCell ref="B32:B35"/>
    <mergeCell ref="G32:K32"/>
    <mergeCell ref="G33:K33"/>
    <mergeCell ref="G34:K34"/>
    <mergeCell ref="G35:K35"/>
    <mergeCell ref="G44:K44"/>
    <mergeCell ref="G45:K45"/>
    <mergeCell ref="G23:K23"/>
    <mergeCell ref="B36:B40"/>
    <mergeCell ref="G36:K36"/>
    <mergeCell ref="G38:K38"/>
    <mergeCell ref="G40:K40"/>
    <mergeCell ref="B24:D24"/>
    <mergeCell ref="G24:K24"/>
    <mergeCell ref="B25:B31"/>
    <mergeCell ref="G25:K25"/>
    <mergeCell ref="G26:K26"/>
    <mergeCell ref="G27:K27"/>
    <mergeCell ref="G28:K28"/>
    <mergeCell ref="B16:D16"/>
    <mergeCell ref="E16:F16"/>
    <mergeCell ref="G16:K16"/>
    <mergeCell ref="B17:B23"/>
    <mergeCell ref="E17:F17"/>
    <mergeCell ref="G17:K17"/>
    <mergeCell ref="E18:F18"/>
    <mergeCell ref="G18:K18"/>
    <mergeCell ref="E19:F19"/>
    <mergeCell ref="G19:K19"/>
    <mergeCell ref="E20:F20"/>
    <mergeCell ref="E21:F21"/>
    <mergeCell ref="G21:K21"/>
    <mergeCell ref="E22:F22"/>
    <mergeCell ref="G22:K22"/>
    <mergeCell ref="E23:F23"/>
    <mergeCell ref="I14:J14"/>
    <mergeCell ref="B1:D2"/>
    <mergeCell ref="C3:D3"/>
    <mergeCell ref="C4:D4"/>
    <mergeCell ref="H4:J4"/>
    <mergeCell ref="C5:D5"/>
    <mergeCell ref="B7:B9"/>
    <mergeCell ref="C7:D7"/>
    <mergeCell ref="C8:D9"/>
    <mergeCell ref="C11:D11"/>
    <mergeCell ref="C12:D12"/>
    <mergeCell ref="C13:D13"/>
    <mergeCell ref="C14:D14"/>
    <mergeCell ref="G14:H14"/>
  </mergeCells>
  <conditionalFormatting sqref="E17:E23">
    <cfRule type="notContainsText" dxfId="15" priority="9" operator="notContains" text="YES">
      <formula>ISERROR(SEARCH("YES",E17))</formula>
    </cfRule>
  </conditionalFormatting>
  <conditionalFormatting sqref="E43:E53">
    <cfRule type="containsText" dxfId="14" priority="7" operator="containsText" text="No">
      <formula>NOT(ISERROR(SEARCH("No",E43)))</formula>
    </cfRule>
  </conditionalFormatting>
  <conditionalFormatting sqref="E25:F42">
    <cfRule type="containsText" dxfId="13" priority="8" operator="containsText" text="No">
      <formula>NOT(ISERROR(SEARCH("No",E25)))</formula>
    </cfRule>
  </conditionalFormatting>
  <conditionalFormatting sqref="H4:J4">
    <cfRule type="cellIs" dxfId="12" priority="1" operator="equal">
      <formula>"NO PASA"</formula>
    </cfRule>
    <cfRule type="cellIs" dxfId="11" priority="2" operator="equal">
      <formula>"NO PASA"</formula>
    </cfRule>
    <cfRule type="cellIs" dxfId="10" priority="3" operator="equal">
      <formula>"PASA"</formula>
    </cfRule>
    <cfRule type="cellIs" dxfId="9" priority="4" operator="equal">
      <formula>"PASA"</formula>
    </cfRule>
    <cfRule type="cellIs" dxfId="8" priority="5" operator="equal">
      <formula>"NO PASA"</formula>
    </cfRule>
    <cfRule type="containsText" dxfId="7" priority="6" operator="containsText" text="PASA">
      <formula>NOT(ISERROR(SEARCH("PASA",H4)))</formula>
    </cfRule>
    <cfRule type="cellIs" dxfId="6" priority="13" operator="equal">
      <formula>$BC$7</formula>
    </cfRule>
    <cfRule type="cellIs" dxfId="5" priority="14" operator="equal">
      <formula>$BC$6</formula>
    </cfRule>
    <cfRule type="cellIs" dxfId="4" priority="15" operator="equal">
      <formula>$BC$4</formula>
    </cfRule>
  </conditionalFormatting>
  <conditionalFormatting sqref="I14">
    <cfRule type="cellIs" dxfId="3" priority="10" operator="greaterThanOrEqual">
      <formula>0.9</formula>
    </cfRule>
    <cfRule type="cellIs" dxfId="2" priority="11" operator="between">
      <formula>0.71</formula>
      <formula>0.9</formula>
    </cfRule>
    <cfRule type="cellIs" dxfId="1" priority="12" operator="lessThan">
      <formula>0.71</formula>
    </cfRule>
  </conditionalFormatting>
  <dataValidations count="3">
    <dataValidation type="list" allowBlank="1" showInputMessage="1" showErrorMessage="1" sqref="E17:E23" xr:uid="{00000000-0002-0000-2A00-000000000000}">
      <formula1>"Yes,No,Cured in Moment"</formula1>
    </dataValidation>
    <dataValidation type="list" allowBlank="1" showInputMessage="1" showErrorMessage="1" sqref="E52:E53 E25:E37 E40:E49" xr:uid="{00000000-0002-0000-2A00-000001000000}">
      <formula1>"Yes,No"</formula1>
    </dataValidation>
    <dataValidation type="list" allowBlank="1" showInputMessage="1" showErrorMessage="1" sqref="E38:E39 E50:E51" xr:uid="{00000000-0002-0000-2A00-000002000000}">
      <formula1>"Yes,No,NA"</formula1>
    </dataValidation>
  </dataValidation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3" tint="0.79998168889431442"/>
  </sheetPr>
  <dimension ref="B1:H103"/>
  <sheetViews>
    <sheetView zoomScale="50" zoomScaleNormal="50" workbookViewId="0">
      <selection activeCell="J20" sqref="J20"/>
    </sheetView>
  </sheetViews>
  <sheetFormatPr baseColWidth="10" defaultColWidth="8.85546875" defaultRowHeight="18"/>
  <cols>
    <col min="1" max="1" width="4.42578125" style="124" customWidth="1"/>
    <col min="2" max="2" width="40.140625" style="122" customWidth="1"/>
    <col min="3" max="3" width="40.140625" style="129" customWidth="1"/>
    <col min="4" max="4" width="40.140625" style="128" customWidth="1"/>
    <col min="5" max="5" width="109.42578125" style="123" customWidth="1"/>
    <col min="6" max="6" width="32.42578125" style="123" customWidth="1"/>
    <col min="7" max="16384" width="8.85546875" style="124"/>
  </cols>
  <sheetData>
    <row r="1" spans="2:8" ht="33" customHeight="1">
      <c r="D1" s="122"/>
    </row>
    <row r="2" spans="2:8" ht="99" customHeight="1" thickBot="1">
      <c r="B2" s="542" t="s">
        <v>258</v>
      </c>
      <c r="C2" s="542"/>
      <c r="D2" s="542"/>
      <c r="E2" s="542"/>
    </row>
    <row r="3" spans="2:8" s="123" customFormat="1" ht="38.1" customHeight="1">
      <c r="B3" s="530" t="s">
        <v>204</v>
      </c>
      <c r="C3" s="531"/>
      <c r="D3" s="531"/>
      <c r="E3" s="531"/>
      <c r="F3" s="532"/>
    </row>
    <row r="4" spans="2:8" ht="42.95" customHeight="1">
      <c r="B4" s="533" t="s">
        <v>207</v>
      </c>
      <c r="C4" s="534"/>
      <c r="D4" s="534"/>
      <c r="E4" s="534"/>
      <c r="F4" s="535"/>
      <c r="H4" s="124" t="s">
        <v>201</v>
      </c>
    </row>
    <row r="5" spans="2:8" ht="38.1" customHeight="1">
      <c r="B5" s="536" t="s">
        <v>267</v>
      </c>
      <c r="C5" s="538" t="s">
        <v>268</v>
      </c>
      <c r="D5" s="538" t="s">
        <v>269</v>
      </c>
      <c r="E5" s="538" t="s">
        <v>9</v>
      </c>
      <c r="F5" s="540" t="s">
        <v>270</v>
      </c>
    </row>
    <row r="6" spans="2:8" ht="12" hidden="1" customHeight="1">
      <c r="B6" s="537"/>
      <c r="C6" s="539"/>
      <c r="D6" s="539" t="s">
        <v>203</v>
      </c>
      <c r="E6" s="539" t="s">
        <v>9</v>
      </c>
      <c r="F6" s="541" t="s">
        <v>202</v>
      </c>
    </row>
    <row r="7" spans="2:8" ht="39.950000000000003" customHeight="1">
      <c r="B7" s="139"/>
      <c r="C7" s="130"/>
      <c r="D7" s="138"/>
      <c r="E7" s="130"/>
      <c r="F7" s="134"/>
    </row>
    <row r="8" spans="2:8" ht="39.950000000000003" customHeight="1">
      <c r="B8" s="140"/>
      <c r="C8" s="127"/>
      <c r="D8" s="138"/>
      <c r="E8" s="127"/>
      <c r="F8" s="135"/>
    </row>
    <row r="9" spans="2:8" ht="39.950000000000003" customHeight="1">
      <c r="B9" s="141"/>
      <c r="C9" s="127"/>
      <c r="D9" s="138"/>
      <c r="E9" s="127"/>
      <c r="F9" s="136"/>
    </row>
    <row r="10" spans="2:8" ht="39.950000000000003" customHeight="1">
      <c r="B10" s="141"/>
      <c r="C10" s="131"/>
      <c r="D10" s="131"/>
      <c r="E10" s="131"/>
      <c r="F10" s="136"/>
    </row>
    <row r="11" spans="2:8" ht="39.950000000000003" customHeight="1">
      <c r="B11" s="141"/>
      <c r="C11" s="131"/>
      <c r="D11" s="131"/>
      <c r="E11" s="131"/>
      <c r="F11" s="136"/>
    </row>
    <row r="12" spans="2:8" ht="44.1" customHeight="1">
      <c r="B12" s="141"/>
      <c r="C12" s="131"/>
      <c r="D12" s="131"/>
      <c r="E12" s="131"/>
      <c r="F12" s="136"/>
    </row>
    <row r="13" spans="2:8" s="126" customFormat="1" ht="30.95" customHeight="1">
      <c r="B13" s="141"/>
      <c r="C13" s="131"/>
      <c r="D13" s="131"/>
      <c r="E13" s="131"/>
      <c r="F13" s="136"/>
    </row>
    <row r="14" spans="2:8" ht="39.950000000000003" customHeight="1">
      <c r="B14" s="141"/>
      <c r="C14" s="131"/>
      <c r="D14" s="131"/>
      <c r="E14" s="131"/>
      <c r="F14" s="136"/>
    </row>
    <row r="15" spans="2:8" ht="39.950000000000003" customHeight="1">
      <c r="B15" s="141"/>
      <c r="C15" s="131"/>
      <c r="D15" s="131"/>
      <c r="E15" s="131"/>
      <c r="F15" s="136"/>
    </row>
    <row r="16" spans="2:8" ht="39.950000000000003" customHeight="1" thickBot="1">
      <c r="B16" s="142"/>
      <c r="C16" s="132"/>
      <c r="D16" s="132"/>
      <c r="E16" s="132"/>
      <c r="F16" s="137"/>
    </row>
    <row r="17" spans="2:6" ht="39.950000000000003" customHeight="1" thickBot="1">
      <c r="B17" s="123"/>
      <c r="C17" s="123"/>
      <c r="D17" s="123"/>
    </row>
    <row r="18" spans="2:6" ht="39.950000000000003" customHeight="1">
      <c r="B18" s="530" t="s">
        <v>205</v>
      </c>
      <c r="C18" s="531"/>
      <c r="D18" s="531"/>
      <c r="E18" s="531"/>
      <c r="F18" s="532"/>
    </row>
    <row r="19" spans="2:6" ht="42.95" customHeight="1">
      <c r="B19" s="533" t="s">
        <v>207</v>
      </c>
      <c r="C19" s="534"/>
      <c r="D19" s="534"/>
      <c r="E19" s="534"/>
      <c r="F19" s="535"/>
    </row>
    <row r="20" spans="2:6" ht="39.950000000000003" customHeight="1">
      <c r="B20" s="536" t="s">
        <v>267</v>
      </c>
      <c r="C20" s="538" t="s">
        <v>316</v>
      </c>
      <c r="D20" s="538" t="s">
        <v>269</v>
      </c>
      <c r="E20" s="538" t="s">
        <v>9</v>
      </c>
      <c r="F20" s="540" t="s">
        <v>270</v>
      </c>
    </row>
    <row r="21" spans="2:6" ht="18" customHeight="1" thickBot="1">
      <c r="B21" s="537"/>
      <c r="C21" s="539"/>
      <c r="D21" s="539" t="s">
        <v>203</v>
      </c>
      <c r="E21" s="539" t="s">
        <v>9</v>
      </c>
      <c r="F21" s="541" t="s">
        <v>202</v>
      </c>
    </row>
    <row r="22" spans="2:6" ht="39.950000000000003" customHeight="1">
      <c r="B22" s="140"/>
      <c r="C22" s="127"/>
      <c r="D22" s="127"/>
      <c r="E22" s="127"/>
      <c r="F22" s="135"/>
    </row>
    <row r="23" spans="2:6" ht="39.950000000000003" customHeight="1">
      <c r="B23" s="141"/>
      <c r="C23" s="131"/>
      <c r="D23" s="131"/>
      <c r="E23" s="131"/>
      <c r="F23" s="136"/>
    </row>
    <row r="24" spans="2:6" ht="39.950000000000003" customHeight="1">
      <c r="B24" s="141"/>
      <c r="C24" s="131"/>
      <c r="D24" s="131"/>
      <c r="E24" s="131"/>
      <c r="F24" s="136"/>
    </row>
    <row r="25" spans="2:6" ht="39.950000000000003" customHeight="1">
      <c r="B25" s="141"/>
      <c r="C25" s="131"/>
      <c r="D25" s="131"/>
      <c r="E25" s="131"/>
      <c r="F25" s="136"/>
    </row>
    <row r="26" spans="2:6" ht="39.950000000000003" customHeight="1">
      <c r="B26" s="141"/>
      <c r="C26" s="131"/>
      <c r="D26" s="131"/>
      <c r="E26" s="131"/>
      <c r="F26" s="136"/>
    </row>
    <row r="27" spans="2:6" ht="39.950000000000003" customHeight="1">
      <c r="B27" s="141"/>
      <c r="C27" s="131"/>
      <c r="D27" s="131"/>
      <c r="E27" s="131"/>
      <c r="F27" s="136"/>
    </row>
    <row r="28" spans="2:6" ht="39.950000000000003" customHeight="1">
      <c r="B28" s="141"/>
      <c r="C28" s="131"/>
      <c r="D28" s="131"/>
      <c r="E28" s="131"/>
      <c r="F28" s="136"/>
    </row>
    <row r="29" spans="2:6" ht="44.1" customHeight="1">
      <c r="B29" s="141"/>
      <c r="C29" s="131"/>
      <c r="D29" s="131"/>
      <c r="E29" s="131"/>
      <c r="F29" s="136"/>
    </row>
    <row r="30" spans="2:6" ht="39.950000000000003" customHeight="1" thickBot="1">
      <c r="B30" s="142"/>
      <c r="C30" s="132"/>
      <c r="D30" s="132"/>
      <c r="E30" s="132"/>
      <c r="F30" s="137"/>
    </row>
    <row r="31" spans="2:6" ht="39.950000000000003" customHeight="1" thickBot="1">
      <c r="B31" s="123"/>
      <c r="C31" s="123"/>
      <c r="D31" s="123"/>
    </row>
    <row r="32" spans="2:6" ht="39.950000000000003" customHeight="1">
      <c r="B32" s="530" t="s">
        <v>206</v>
      </c>
      <c r="C32" s="531"/>
      <c r="D32" s="531"/>
      <c r="E32" s="531"/>
      <c r="F32" s="532"/>
    </row>
    <row r="33" spans="2:6" ht="42.95" customHeight="1">
      <c r="B33" s="533" t="s">
        <v>207</v>
      </c>
      <c r="C33" s="534"/>
      <c r="D33" s="534"/>
      <c r="E33" s="534"/>
      <c r="F33" s="535"/>
    </row>
    <row r="34" spans="2:6" ht="49.5" customHeight="1">
      <c r="B34" s="536" t="s">
        <v>267</v>
      </c>
      <c r="C34" s="538" t="s">
        <v>268</v>
      </c>
      <c r="D34" s="538" t="s">
        <v>269</v>
      </c>
      <c r="E34" s="538" t="s">
        <v>9</v>
      </c>
      <c r="F34" s="540" t="s">
        <v>270</v>
      </c>
    </row>
    <row r="35" spans="2:6" ht="39.75" hidden="1" customHeight="1">
      <c r="B35" s="537"/>
      <c r="C35" s="539"/>
      <c r="D35" s="539" t="s">
        <v>203</v>
      </c>
      <c r="E35" s="539" t="s">
        <v>9</v>
      </c>
      <c r="F35" s="541" t="s">
        <v>202</v>
      </c>
    </row>
    <row r="36" spans="2:6" ht="39.950000000000003" customHeight="1">
      <c r="B36" s="140"/>
      <c r="C36" s="127"/>
      <c r="D36" s="127"/>
      <c r="E36" s="127"/>
      <c r="F36" s="135"/>
    </row>
    <row r="37" spans="2:6" ht="39.950000000000003" customHeight="1">
      <c r="B37" s="141"/>
      <c r="C37" s="131"/>
      <c r="D37" s="131"/>
      <c r="E37" s="131"/>
      <c r="F37" s="136"/>
    </row>
    <row r="38" spans="2:6" ht="39.950000000000003" customHeight="1">
      <c r="B38" s="141"/>
      <c r="C38" s="131"/>
      <c r="D38" s="131"/>
      <c r="E38" s="131"/>
      <c r="F38" s="136"/>
    </row>
    <row r="39" spans="2:6" ht="39.950000000000003" customHeight="1">
      <c r="B39" s="141"/>
      <c r="C39" s="131"/>
      <c r="D39" s="131"/>
      <c r="E39" s="131"/>
      <c r="F39" s="136"/>
    </row>
    <row r="40" spans="2:6" ht="39.950000000000003" customHeight="1">
      <c r="B40" s="141"/>
      <c r="C40" s="131"/>
      <c r="D40" s="131"/>
      <c r="E40" s="131"/>
      <c r="F40" s="136"/>
    </row>
    <row r="41" spans="2:6" ht="39.950000000000003" customHeight="1">
      <c r="B41" s="141"/>
      <c r="C41" s="131"/>
      <c r="D41" s="131"/>
      <c r="E41" s="131"/>
      <c r="F41" s="136"/>
    </row>
    <row r="42" spans="2:6" ht="39.950000000000003" customHeight="1">
      <c r="B42" s="141"/>
      <c r="C42" s="131"/>
      <c r="D42" s="131"/>
      <c r="E42" s="131"/>
      <c r="F42" s="136"/>
    </row>
    <row r="43" spans="2:6" ht="39.950000000000003" customHeight="1">
      <c r="B43" s="141"/>
      <c r="C43" s="131"/>
      <c r="D43" s="131"/>
      <c r="E43" s="131"/>
      <c r="F43" s="136"/>
    </row>
    <row r="44" spans="2:6" ht="30.95" customHeight="1" thickBot="1">
      <c r="B44" s="142"/>
      <c r="C44" s="132"/>
      <c r="D44" s="132"/>
      <c r="E44" s="132"/>
      <c r="F44" s="137"/>
    </row>
    <row r="45" spans="2:6" ht="39.950000000000003" customHeight="1"/>
    <row r="46" spans="2:6" ht="44.1" customHeight="1"/>
    <row r="47" spans="2:6" ht="39.950000000000003" customHeight="1"/>
    <row r="48" spans="2:6" ht="44.1" customHeight="1"/>
    <row r="49" spans="2:7" ht="44.1" customHeight="1"/>
    <row r="50" spans="2:7" ht="44.1" customHeight="1"/>
    <row r="51" spans="2:7" ht="30.95" customHeight="1"/>
    <row r="52" spans="2:7" ht="44.1" customHeight="1"/>
    <row r="53" spans="2:7" ht="39.950000000000003" customHeight="1"/>
    <row r="54" spans="2:7" ht="39.950000000000003" customHeight="1"/>
    <row r="55" spans="2:7" ht="39.950000000000003" customHeight="1"/>
    <row r="56" spans="2:7" ht="39.950000000000003" customHeight="1"/>
    <row r="57" spans="2:7" s="133" customFormat="1" ht="30.95" customHeight="1">
      <c r="B57" s="122"/>
      <c r="C57" s="129"/>
      <c r="D57" s="128"/>
      <c r="E57" s="123"/>
      <c r="F57" s="123"/>
    </row>
    <row r="58" spans="2:7" s="125" customFormat="1" ht="39.950000000000003" customHeight="1">
      <c r="B58" s="122"/>
      <c r="C58" s="129"/>
      <c r="D58" s="128"/>
      <c r="E58" s="123"/>
      <c r="F58" s="123"/>
      <c r="G58" s="124"/>
    </row>
    <row r="59" spans="2:7" s="125" customFormat="1" ht="39.950000000000003" customHeight="1">
      <c r="B59" s="122"/>
      <c r="C59" s="129"/>
      <c r="D59" s="128"/>
      <c r="E59" s="123"/>
      <c r="F59" s="123"/>
    </row>
    <row r="60" spans="2:7" s="125" customFormat="1" ht="39.950000000000003" customHeight="1">
      <c r="B60" s="122"/>
      <c r="C60" s="129"/>
      <c r="D60" s="128"/>
      <c r="E60" s="123"/>
      <c r="F60" s="123"/>
    </row>
    <row r="61" spans="2:7" s="125" customFormat="1" ht="39.950000000000003" customHeight="1">
      <c r="B61" s="122"/>
      <c r="C61" s="129"/>
      <c r="D61" s="128"/>
      <c r="E61" s="123"/>
      <c r="F61" s="123"/>
    </row>
    <row r="62" spans="2:7" s="125" customFormat="1" ht="39.950000000000003" customHeight="1">
      <c r="B62" s="122"/>
      <c r="C62" s="129"/>
      <c r="D62" s="128"/>
      <c r="E62" s="123"/>
      <c r="F62" s="123"/>
    </row>
    <row r="63" spans="2:7" ht="39.950000000000003" customHeight="1">
      <c r="G63" s="125"/>
    </row>
    <row r="64" spans="2:7" ht="39.950000000000003" customHeight="1"/>
    <row r="65" ht="39.950000000000003" customHeight="1"/>
    <row r="66" ht="39.950000000000003" customHeight="1"/>
    <row r="67" ht="44.1" customHeight="1"/>
    <row r="68" ht="30.95" customHeight="1"/>
    <row r="69" ht="39.950000000000003" customHeight="1"/>
    <row r="70" ht="39.950000000000003" customHeight="1"/>
    <row r="71" ht="44.1" customHeight="1"/>
    <row r="72" ht="39.950000000000003" customHeight="1"/>
    <row r="73" ht="39.950000000000003" customHeight="1"/>
    <row r="74" ht="39.950000000000003" customHeight="1"/>
    <row r="75" ht="44.1" customHeight="1"/>
    <row r="76" ht="39.950000000000003" customHeight="1"/>
    <row r="77" ht="39.950000000000003" customHeight="1"/>
    <row r="78" ht="39.950000000000003" customHeight="1"/>
    <row r="79" ht="30.95" customHeight="1"/>
    <row r="80" ht="39.950000000000003" customHeight="1"/>
    <row r="81" ht="39.950000000000003" customHeight="1"/>
    <row r="82" ht="39.950000000000003" customHeight="1"/>
    <row r="83" ht="39.950000000000003" customHeight="1"/>
    <row r="84" ht="39.950000000000003" customHeight="1"/>
    <row r="85" ht="39.950000000000003" customHeight="1"/>
    <row r="86" ht="44.1" customHeight="1"/>
    <row r="87" ht="39.950000000000003" customHeight="1"/>
    <row r="88" ht="31.5" customHeight="1"/>
    <row r="89" ht="53.1" customHeight="1"/>
    <row r="90" ht="30.95" customHeight="1"/>
    <row r="91" ht="30.95" customHeight="1"/>
    <row r="92" ht="30.95" customHeight="1"/>
    <row r="93" ht="30.95" customHeight="1"/>
    <row r="94" ht="30.95" customHeight="1"/>
    <row r="95" ht="30.95" customHeight="1"/>
    <row r="96" ht="30.95" customHeight="1"/>
    <row r="97" ht="30.95" customHeight="1"/>
    <row r="98" ht="30.95" customHeight="1"/>
    <row r="99" ht="30.95" customHeight="1"/>
    <row r="100" ht="30.95" customHeight="1"/>
    <row r="101" ht="30.95" customHeight="1"/>
    <row r="102" ht="30.95" customHeight="1"/>
    <row r="103" ht="30.95" customHeight="1"/>
  </sheetData>
  <mergeCells count="22">
    <mergeCell ref="B32:F32"/>
    <mergeCell ref="B33:F33"/>
    <mergeCell ref="B34:B35"/>
    <mergeCell ref="C34:C35"/>
    <mergeCell ref="D34:D35"/>
    <mergeCell ref="E34:E35"/>
    <mergeCell ref="F34:F35"/>
    <mergeCell ref="B18:F18"/>
    <mergeCell ref="B19:F19"/>
    <mergeCell ref="B20:B21"/>
    <mergeCell ref="C20:C21"/>
    <mergeCell ref="D20:D21"/>
    <mergeCell ref="E20:E21"/>
    <mergeCell ref="F20:F21"/>
    <mergeCell ref="B2:E2"/>
    <mergeCell ref="B3:F3"/>
    <mergeCell ref="B4:F4"/>
    <mergeCell ref="B5:B6"/>
    <mergeCell ref="C5:C6"/>
    <mergeCell ref="D5:D6"/>
    <mergeCell ref="E5:E6"/>
    <mergeCell ref="F5:F6"/>
  </mergeCells>
  <conditionalFormatting sqref="F31">
    <cfRule type="expression" dxfId="0" priority="1" stopIfTrue="1">
      <formula>IF($E31="NA",TRUE,FALSE)</formula>
    </cfRule>
  </conditionalFormatting>
  <dataValidations count="3">
    <dataValidation type="list" allowBlank="1" showInputMessage="1" showErrorMessage="1" sqref="E5:E6 E20:E21 E34:E35" xr:uid="{00000000-0002-0000-2B00-000000000000}">
      <formula1>"Yes,No,Cured in Moment"</formula1>
    </dataValidation>
    <dataValidation type="list" allowBlank="1" showInputMessage="1" showErrorMessage="1" sqref="E17" xr:uid="{00000000-0002-0000-2B00-000001000000}">
      <formula1>"Yes,No"</formula1>
    </dataValidation>
    <dataValidation type="list" allowBlank="1" showInputMessage="1" showErrorMessage="1" sqref="E31" xr:uid="{00000000-0002-0000-2B00-000002000000}">
      <formula1>"Yes,No,NA"</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tint="0.79998168889431442"/>
  </sheetPr>
  <dimension ref="B1:AP28"/>
  <sheetViews>
    <sheetView tabSelected="1" workbookViewId="0">
      <pane xSplit="4" ySplit="9" topLeftCell="E11" activePane="bottomRight" state="frozen"/>
      <selection pane="topRight" activeCell="E1" sqref="E1"/>
      <selection pane="bottomLeft" activeCell="A11" sqref="A11"/>
      <selection pane="bottomRight" activeCell="V4" sqref="V4"/>
    </sheetView>
  </sheetViews>
  <sheetFormatPr baseColWidth="10" defaultColWidth="16.42578125" defaultRowHeight="12.75"/>
  <cols>
    <col min="1" max="1" width="1.85546875" style="238" customWidth="1"/>
    <col min="2" max="2" width="17" style="238" customWidth="1"/>
    <col min="3" max="3" width="73.28515625" style="238" bestFit="1" customWidth="1"/>
    <col min="4" max="6" width="11.42578125" style="238" customWidth="1"/>
    <col min="7" max="7" width="13.7109375" style="238" customWidth="1"/>
    <col min="8" max="9" width="11.42578125" style="238" customWidth="1"/>
    <col min="10" max="10" width="13.5703125" style="238" customWidth="1"/>
    <col min="11" max="12" width="11.42578125" style="238" customWidth="1"/>
    <col min="13" max="13" width="13.5703125" style="238" customWidth="1"/>
    <col min="14" max="15" width="11.42578125" style="238" customWidth="1"/>
    <col min="16" max="16" width="13.5703125" style="238" customWidth="1"/>
    <col min="17" max="18" width="11.42578125" style="238" customWidth="1"/>
    <col min="19" max="19" width="13.5703125" style="238" customWidth="1"/>
    <col min="20" max="21" width="11.42578125" style="238" customWidth="1"/>
    <col min="22" max="22" width="12.85546875" style="238" customWidth="1"/>
    <col min="23" max="23" width="14.140625" style="238" customWidth="1"/>
    <col min="24" max="24" width="13.28515625" style="238" customWidth="1"/>
    <col min="25" max="25" width="13" style="239" customWidth="1"/>
    <col min="26" max="26" width="10.140625" style="238" customWidth="1"/>
    <col min="27" max="39" width="6.7109375" style="238" customWidth="1"/>
    <col min="40" max="40" width="30.5703125" style="238" hidden="1" customWidth="1"/>
    <col min="41" max="42" width="6.7109375" style="238" hidden="1" customWidth="1"/>
    <col min="43" max="16384" width="16.42578125" style="238"/>
  </cols>
  <sheetData>
    <row r="1" spans="2:40" ht="12.75" customHeight="1">
      <c r="AN1" s="240" t="s">
        <v>276</v>
      </c>
    </row>
    <row r="2" spans="2:40" ht="18.75">
      <c r="B2" s="639" t="s">
        <v>277</v>
      </c>
      <c r="C2" s="639"/>
      <c r="AN2" s="238" t="s">
        <v>278</v>
      </c>
    </row>
    <row r="3" spans="2:40" ht="16.5" thickBot="1">
      <c r="B3" s="640" t="s">
        <v>279</v>
      </c>
      <c r="C3" s="641"/>
      <c r="D3" s="642" t="s">
        <v>280</v>
      </c>
      <c r="E3" s="643"/>
      <c r="F3" s="644"/>
      <c r="H3" s="241"/>
      <c r="AN3" s="238" t="s">
        <v>281</v>
      </c>
    </row>
    <row r="4" spans="2:40" ht="21" thickBot="1">
      <c r="B4" s="645" t="s">
        <v>282</v>
      </c>
      <c r="C4" s="646"/>
      <c r="D4" s="647"/>
      <c r="E4" s="648"/>
      <c r="F4" s="649"/>
      <c r="I4" s="238" t="s">
        <v>283</v>
      </c>
      <c r="V4" s="294" t="s">
        <v>515</v>
      </c>
      <c r="AN4" s="238" t="s">
        <v>284</v>
      </c>
    </row>
    <row r="5" spans="2:40" ht="13.5" thickBot="1">
      <c r="AN5" s="238" t="s">
        <v>285</v>
      </c>
    </row>
    <row r="6" spans="2:40" ht="15.75" thickBot="1">
      <c r="D6" s="636" t="s">
        <v>286</v>
      </c>
      <c r="E6" s="637"/>
      <c r="F6" s="637"/>
      <c r="G6" s="637"/>
      <c r="H6" s="637"/>
      <c r="I6" s="637"/>
      <c r="J6" s="637"/>
      <c r="K6" s="637"/>
      <c r="L6" s="637"/>
      <c r="M6" s="637"/>
      <c r="N6" s="637"/>
      <c r="O6" s="637"/>
      <c r="P6" s="637"/>
      <c r="Q6" s="637"/>
      <c r="R6" s="637"/>
      <c r="S6" s="637"/>
      <c r="T6" s="637"/>
      <c r="U6" s="637"/>
      <c r="V6" s="638"/>
      <c r="AN6" s="238" t="s">
        <v>287</v>
      </c>
    </row>
    <row r="7" spans="2:40" ht="16.5" thickBot="1">
      <c r="B7" s="623" t="s">
        <v>288</v>
      </c>
      <c r="C7" s="623" t="s">
        <v>289</v>
      </c>
      <c r="D7" s="625" t="s">
        <v>290</v>
      </c>
      <c r="E7" s="627" t="s">
        <v>306</v>
      </c>
      <c r="F7" s="628"/>
      <c r="G7" s="629"/>
      <c r="H7" s="630" t="s">
        <v>307</v>
      </c>
      <c r="I7" s="631"/>
      <c r="J7" s="632"/>
      <c r="K7" s="633" t="s">
        <v>308</v>
      </c>
      <c r="L7" s="634"/>
      <c r="M7" s="635"/>
      <c r="N7" s="614" t="s">
        <v>309</v>
      </c>
      <c r="O7" s="615"/>
      <c r="P7" s="616"/>
      <c r="Q7" s="617" t="s">
        <v>310</v>
      </c>
      <c r="R7" s="618"/>
      <c r="S7" s="619"/>
      <c r="T7" s="620" t="s">
        <v>311</v>
      </c>
      <c r="U7" s="621"/>
      <c r="V7" s="622"/>
      <c r="W7" s="609" t="s">
        <v>314</v>
      </c>
      <c r="X7" s="610"/>
      <c r="Y7" s="611"/>
      <c r="AN7" s="238" t="s">
        <v>292</v>
      </c>
    </row>
    <row r="8" spans="2:40" ht="23.25" thickBot="1">
      <c r="B8" s="624"/>
      <c r="C8" s="624"/>
      <c r="D8" s="626"/>
      <c r="E8" s="242" t="s">
        <v>312</v>
      </c>
      <c r="F8" s="243" t="s">
        <v>313</v>
      </c>
      <c r="G8" s="244" t="s">
        <v>293</v>
      </c>
      <c r="H8" s="280" t="s">
        <v>312</v>
      </c>
      <c r="I8" s="281" t="s">
        <v>313</v>
      </c>
      <c r="J8" s="245" t="s">
        <v>293</v>
      </c>
      <c r="K8" s="278" t="s">
        <v>312</v>
      </c>
      <c r="L8" s="279" t="s">
        <v>313</v>
      </c>
      <c r="M8" s="246" t="s">
        <v>293</v>
      </c>
      <c r="N8" s="276" t="s">
        <v>312</v>
      </c>
      <c r="O8" s="277" t="s">
        <v>313</v>
      </c>
      <c r="P8" s="247" t="s">
        <v>293</v>
      </c>
      <c r="Q8" s="274" t="s">
        <v>312</v>
      </c>
      <c r="R8" s="275" t="s">
        <v>313</v>
      </c>
      <c r="S8" s="248" t="s">
        <v>293</v>
      </c>
      <c r="T8" s="272" t="s">
        <v>312</v>
      </c>
      <c r="U8" s="273" t="s">
        <v>313</v>
      </c>
      <c r="V8" s="249" t="s">
        <v>293</v>
      </c>
      <c r="W8" s="270" t="s">
        <v>312</v>
      </c>
      <c r="X8" s="271" t="s">
        <v>313</v>
      </c>
      <c r="Y8" s="250" t="s">
        <v>293</v>
      </c>
      <c r="AN8" s="238" t="s">
        <v>294</v>
      </c>
    </row>
    <row r="9" spans="2:40" ht="15.75">
      <c r="B9" s="251">
        <f>'EOR PV PV 180'!$C$5</f>
        <v>46272</v>
      </c>
      <c r="C9" s="252" t="s">
        <v>335</v>
      </c>
      <c r="D9" s="253" t="str">
        <f>'EOR PV PV 180'!$H$4</f>
        <v>PASA</v>
      </c>
      <c r="E9" s="254">
        <f>'EOR PV PV 180'!$H$6</f>
        <v>31</v>
      </c>
      <c r="F9" s="255">
        <f>'EOR PV PV 180'!$I$6</f>
        <v>31</v>
      </c>
      <c r="G9" s="256">
        <f t="shared" ref="G9:G27" si="0">F9/E9</f>
        <v>1</v>
      </c>
      <c r="H9" s="257">
        <f>'EOR PV PV 180'!$H$7</f>
        <v>18</v>
      </c>
      <c r="I9" s="257">
        <f>'EOR PV PV 180'!$I$7</f>
        <v>18</v>
      </c>
      <c r="J9" s="258">
        <f t="shared" ref="J9:J27" si="1">I9/H9</f>
        <v>1</v>
      </c>
      <c r="K9" s="259">
        <f>'EOR PV PV 180'!$H$8</f>
        <v>31</v>
      </c>
      <c r="L9" s="259">
        <f>'EOR PV PV 180'!$I$8</f>
        <v>31</v>
      </c>
      <c r="M9" s="260">
        <f t="shared" ref="M9:M27" si="2">L9/K9</f>
        <v>1</v>
      </c>
      <c r="N9" s="261">
        <f>'EOR PV PV 180'!$H$9</f>
        <v>19</v>
      </c>
      <c r="O9" s="261">
        <f>'EOR PV PV 180'!$I$9</f>
        <v>19</v>
      </c>
      <c r="P9" s="262">
        <f t="shared" ref="P9:P27" si="3">O9/N9</f>
        <v>1</v>
      </c>
      <c r="Q9" s="263">
        <f>'EOR PV PV 180'!$H$10</f>
        <v>13</v>
      </c>
      <c r="R9" s="263">
        <f>'EOR PV PV 180'!$I$10</f>
        <v>13</v>
      </c>
      <c r="S9" s="264">
        <f t="shared" ref="S9:S27" si="4">R9/Q9</f>
        <v>1</v>
      </c>
      <c r="T9" s="265">
        <f>'EOR PV PV 180'!$H$11</f>
        <v>5</v>
      </c>
      <c r="U9" s="265">
        <f>'EOR PV PV 180'!$I$11</f>
        <v>5</v>
      </c>
      <c r="V9" s="266">
        <f t="shared" ref="V9:V27" si="5">U9/T9</f>
        <v>1</v>
      </c>
      <c r="W9" s="267">
        <f t="shared" ref="W9:W21" si="6">E9+H9+K9+N9+Q9+T9</f>
        <v>117</v>
      </c>
      <c r="X9" s="267">
        <f t="shared" ref="X9:X21" si="7">F9+I9+L9+O9+R9+U9</f>
        <v>117</v>
      </c>
      <c r="Y9" s="268">
        <f t="shared" ref="Y9:Y27" si="8">X9/W9</f>
        <v>1</v>
      </c>
      <c r="AN9" s="238" t="s">
        <v>295</v>
      </c>
    </row>
    <row r="10" spans="2:40" ht="15.75">
      <c r="B10" s="251">
        <f>'EOR PV 106'!$C$5</f>
        <v>46276</v>
      </c>
      <c r="C10" s="252" t="s">
        <v>336</v>
      </c>
      <c r="D10" s="253" t="str">
        <f>'EOR PV 106'!$H$4</f>
        <v>PASA</v>
      </c>
      <c r="E10" s="254">
        <f>'EOR PV 106'!$H$6</f>
        <v>31</v>
      </c>
      <c r="F10" s="255">
        <f>'EOR PV 106'!$I$6</f>
        <v>31</v>
      </c>
      <c r="G10" s="256">
        <f t="shared" si="0"/>
        <v>1</v>
      </c>
      <c r="H10" s="257">
        <f>'EOR PV 106'!$H$7</f>
        <v>18</v>
      </c>
      <c r="I10" s="257">
        <f>'EOR PV 106'!$I$7</f>
        <v>18</v>
      </c>
      <c r="J10" s="258">
        <f t="shared" si="1"/>
        <v>1</v>
      </c>
      <c r="K10" s="259">
        <f>'EOR PV 106'!$H$8</f>
        <v>31</v>
      </c>
      <c r="L10" s="259">
        <f>'EOR PV 106'!$I$8</f>
        <v>31</v>
      </c>
      <c r="M10" s="260">
        <f t="shared" si="2"/>
        <v>1</v>
      </c>
      <c r="N10" s="261">
        <f>'EOR PV 106'!$H$9</f>
        <v>19</v>
      </c>
      <c r="O10" s="261">
        <f>'EOR PV 106'!$I$9</f>
        <v>19</v>
      </c>
      <c r="P10" s="262">
        <f t="shared" si="3"/>
        <v>1</v>
      </c>
      <c r="Q10" s="263">
        <f>'EOR PV 106'!$H$10</f>
        <v>13</v>
      </c>
      <c r="R10" s="263">
        <f>'EOR PV 106'!$I$10</f>
        <v>13</v>
      </c>
      <c r="S10" s="264">
        <f t="shared" si="4"/>
        <v>1</v>
      </c>
      <c r="T10" s="265">
        <f>'EOR PV 106'!$H$11</f>
        <v>5</v>
      </c>
      <c r="U10" s="265">
        <f>'EOR PV 106'!$I$11</f>
        <v>5</v>
      </c>
      <c r="V10" s="266">
        <f t="shared" si="5"/>
        <v>1</v>
      </c>
      <c r="W10" s="267">
        <f t="shared" si="6"/>
        <v>117</v>
      </c>
      <c r="X10" s="267">
        <f t="shared" si="7"/>
        <v>117</v>
      </c>
      <c r="Y10" s="268">
        <f t="shared" si="8"/>
        <v>1</v>
      </c>
    </row>
    <row r="11" spans="2:40" ht="15.75">
      <c r="B11" s="251">
        <f>'EOR PV 257'!$C$5</f>
        <v>46277</v>
      </c>
      <c r="C11" s="252" t="s">
        <v>362</v>
      </c>
      <c r="D11" s="253" t="str">
        <f>'EOR PV 257'!$H$4</f>
        <v>PASA</v>
      </c>
      <c r="E11" s="254">
        <f>'EOR PV 257'!$H$6</f>
        <v>31</v>
      </c>
      <c r="F11" s="255">
        <f>'EOR PV 257'!$I$6</f>
        <v>31</v>
      </c>
      <c r="G11" s="256">
        <f t="shared" si="0"/>
        <v>1</v>
      </c>
      <c r="H11" s="257">
        <f>'EOR PV 257'!$H$7</f>
        <v>18</v>
      </c>
      <c r="I11" s="257">
        <f>'EOR PV 257'!$I$7</f>
        <v>18</v>
      </c>
      <c r="J11" s="258">
        <f t="shared" si="1"/>
        <v>1</v>
      </c>
      <c r="K11" s="259">
        <f>'EOR PV 257'!$H$8</f>
        <v>31</v>
      </c>
      <c r="L11" s="259">
        <f>'EOR PV 257'!$I$8</f>
        <v>31</v>
      </c>
      <c r="M11" s="260">
        <f t="shared" si="2"/>
        <v>1</v>
      </c>
      <c r="N11" s="261">
        <f>'EOR PV 257'!$H$9</f>
        <v>19</v>
      </c>
      <c r="O11" s="261">
        <f>'EOR PV 257'!$I$9</f>
        <v>19</v>
      </c>
      <c r="P11" s="262">
        <f t="shared" si="3"/>
        <v>1</v>
      </c>
      <c r="Q11" s="263">
        <f>'EOR PV 257'!$H$10</f>
        <v>13</v>
      </c>
      <c r="R11" s="263">
        <f>'EOR PV 257'!$I$10</f>
        <v>13</v>
      </c>
      <c r="S11" s="264">
        <f t="shared" si="4"/>
        <v>1</v>
      </c>
      <c r="T11" s="265">
        <f>'EOR PV 257'!$H$11</f>
        <v>5</v>
      </c>
      <c r="U11" s="265">
        <f>'EOR PV 257'!$I$11</f>
        <v>5</v>
      </c>
      <c r="V11" s="266">
        <f t="shared" si="5"/>
        <v>1</v>
      </c>
      <c r="W11" s="267">
        <f t="shared" si="6"/>
        <v>117</v>
      </c>
      <c r="X11" s="267">
        <f t="shared" si="7"/>
        <v>117</v>
      </c>
      <c r="Y11" s="268">
        <f t="shared" si="8"/>
        <v>1</v>
      </c>
      <c r="AN11" s="238" t="s">
        <v>296</v>
      </c>
    </row>
    <row r="12" spans="2:40" ht="15.75">
      <c r="B12" s="251">
        <f>'EOR PV 102'!$C$5</f>
        <v>46273</v>
      </c>
      <c r="C12" s="252" t="s">
        <v>338</v>
      </c>
      <c r="D12" s="253" t="str">
        <f>'EOR PV 102'!$H$4</f>
        <v>PASA</v>
      </c>
      <c r="E12" s="254">
        <f>'EOR PV 102'!$H$6</f>
        <v>31</v>
      </c>
      <c r="F12" s="255">
        <f>'EOR PV 102'!$I$6</f>
        <v>12</v>
      </c>
      <c r="G12" s="256">
        <f t="shared" si="0"/>
        <v>0.38709677419354838</v>
      </c>
      <c r="H12" s="257">
        <f>'EOR PV 102'!$H$7</f>
        <v>18</v>
      </c>
      <c r="I12" s="257">
        <f>'EOR PV 102'!$I$7</f>
        <v>13</v>
      </c>
      <c r="J12" s="258">
        <f t="shared" si="1"/>
        <v>0.72222222222222221</v>
      </c>
      <c r="K12" s="259">
        <f>'EOR PV 102'!$H$8</f>
        <v>31</v>
      </c>
      <c r="L12" s="259">
        <f>'EOR PV 102'!$I$8</f>
        <v>31</v>
      </c>
      <c r="M12" s="260">
        <f t="shared" si="2"/>
        <v>1</v>
      </c>
      <c r="N12" s="261">
        <f>'EOR PV 102'!$H$9</f>
        <v>19</v>
      </c>
      <c r="O12" s="261">
        <f>'EOR PV 102'!$I$9</f>
        <v>18</v>
      </c>
      <c r="P12" s="262">
        <f t="shared" si="3"/>
        <v>0.94736842105263153</v>
      </c>
      <c r="Q12" s="263">
        <f>'EOR PV 102'!$H$10</f>
        <v>13</v>
      </c>
      <c r="R12" s="263">
        <f>'EOR PV 102'!$I$10</f>
        <v>12</v>
      </c>
      <c r="S12" s="264">
        <f t="shared" si="4"/>
        <v>0.92307692307692313</v>
      </c>
      <c r="T12" s="265">
        <f>'EOR PV 102'!$H$11</f>
        <v>5</v>
      </c>
      <c r="U12" s="265">
        <f>'EOR PV 102'!$I$11</f>
        <v>4</v>
      </c>
      <c r="V12" s="266">
        <f t="shared" si="5"/>
        <v>0.8</v>
      </c>
      <c r="W12" s="267">
        <f t="shared" si="6"/>
        <v>117</v>
      </c>
      <c r="X12" s="267">
        <f t="shared" si="7"/>
        <v>90</v>
      </c>
      <c r="Y12" s="268">
        <f t="shared" si="8"/>
        <v>0.76923076923076927</v>
      </c>
      <c r="AN12" s="238" t="s">
        <v>297</v>
      </c>
    </row>
    <row r="13" spans="2:40" ht="15.75">
      <c r="B13" s="251">
        <f>'EOR PV 290'!$C$5</f>
        <v>46274</v>
      </c>
      <c r="C13" s="252" t="s">
        <v>337</v>
      </c>
      <c r="D13" s="253" t="str">
        <f>'EOR PV 290'!$H$4</f>
        <v>PASA</v>
      </c>
      <c r="E13" s="254">
        <f>'EOR PV 290'!$H$6</f>
        <v>31</v>
      </c>
      <c r="F13" s="255">
        <f>'EOR PV 290'!$I$6</f>
        <v>21</v>
      </c>
      <c r="G13" s="256">
        <f t="shared" si="0"/>
        <v>0.67741935483870963</v>
      </c>
      <c r="H13" s="257">
        <f>'EOR PV 290'!$H$7</f>
        <v>18</v>
      </c>
      <c r="I13" s="257">
        <f>'EOR PV 290'!$I$7</f>
        <v>12</v>
      </c>
      <c r="J13" s="258">
        <f t="shared" si="1"/>
        <v>0.66666666666666663</v>
      </c>
      <c r="K13" s="259">
        <f>'EOR PV 290'!$H$8</f>
        <v>31</v>
      </c>
      <c r="L13" s="259">
        <f>'EOR PV 290'!$I$8</f>
        <v>31</v>
      </c>
      <c r="M13" s="260">
        <f t="shared" si="2"/>
        <v>1</v>
      </c>
      <c r="N13" s="261">
        <f>'EOR PV 290'!$H$9</f>
        <v>19</v>
      </c>
      <c r="O13" s="261">
        <f>'EOR PV 290'!$I$9</f>
        <v>18</v>
      </c>
      <c r="P13" s="262">
        <f t="shared" si="3"/>
        <v>0.94736842105263153</v>
      </c>
      <c r="Q13" s="263">
        <f>'EOR PV 290'!$H$10</f>
        <v>13</v>
      </c>
      <c r="R13" s="263">
        <f>'EOR PV 290'!$I$10</f>
        <v>12</v>
      </c>
      <c r="S13" s="264">
        <f t="shared" si="4"/>
        <v>0.92307692307692313</v>
      </c>
      <c r="T13" s="265">
        <f>'EOR PV 290'!$H$11</f>
        <v>5</v>
      </c>
      <c r="U13" s="265">
        <f>'EOR PV 290'!$I$11</f>
        <v>5</v>
      </c>
      <c r="V13" s="266">
        <f t="shared" si="5"/>
        <v>1</v>
      </c>
      <c r="W13" s="267">
        <f t="shared" si="6"/>
        <v>117</v>
      </c>
      <c r="X13" s="267">
        <f t="shared" si="7"/>
        <v>99</v>
      </c>
      <c r="Y13" s="268">
        <f t="shared" si="8"/>
        <v>0.84615384615384615</v>
      </c>
      <c r="AN13" s="238" t="s">
        <v>298</v>
      </c>
    </row>
    <row r="14" spans="2:40" ht="15.75">
      <c r="B14" s="251">
        <f>'EOR PV 276'!$C$5</f>
        <v>46273</v>
      </c>
      <c r="C14" s="252" t="s">
        <v>339</v>
      </c>
      <c r="D14" s="253" t="str">
        <f>'EOR PV 276'!$H$4</f>
        <v>PASA</v>
      </c>
      <c r="E14" s="254">
        <f>'EOR PV 276'!$H$6</f>
        <v>31</v>
      </c>
      <c r="F14" s="255">
        <f>'EOR PV 276'!$I$6</f>
        <v>23</v>
      </c>
      <c r="G14" s="256">
        <f t="shared" si="0"/>
        <v>0.74193548387096775</v>
      </c>
      <c r="H14" s="257">
        <f>'EOR PV 276'!$H$7</f>
        <v>18</v>
      </c>
      <c r="I14" s="257">
        <f>'EOR PV 276'!$I$7</f>
        <v>17</v>
      </c>
      <c r="J14" s="258">
        <f t="shared" si="1"/>
        <v>0.94444444444444442</v>
      </c>
      <c r="K14" s="259">
        <f>'EOR PV 276'!$H$8</f>
        <v>31</v>
      </c>
      <c r="L14" s="259">
        <f>'EOR PV 276'!$I$8</f>
        <v>31</v>
      </c>
      <c r="M14" s="260">
        <f t="shared" si="2"/>
        <v>1</v>
      </c>
      <c r="N14" s="261">
        <f>'EOR PV 276'!$H$9</f>
        <v>19</v>
      </c>
      <c r="O14" s="261">
        <f>'EOR PV 276'!$I$9</f>
        <v>18</v>
      </c>
      <c r="P14" s="262">
        <f t="shared" si="3"/>
        <v>0.94736842105263153</v>
      </c>
      <c r="Q14" s="263">
        <f>'EOR PV 276'!$H$10</f>
        <v>13</v>
      </c>
      <c r="R14" s="263">
        <f>'EOR PV 276'!$I$10</f>
        <v>12</v>
      </c>
      <c r="S14" s="264">
        <f t="shared" si="4"/>
        <v>0.92307692307692313</v>
      </c>
      <c r="T14" s="265">
        <f>'EOR PV 276'!$H$11</f>
        <v>5</v>
      </c>
      <c r="U14" s="265">
        <f>'EOR PV 276'!$I$11</f>
        <v>4</v>
      </c>
      <c r="V14" s="266">
        <f t="shared" si="5"/>
        <v>0.8</v>
      </c>
      <c r="W14" s="267">
        <f t="shared" si="6"/>
        <v>117</v>
      </c>
      <c r="X14" s="267">
        <f t="shared" si="7"/>
        <v>105</v>
      </c>
      <c r="Y14" s="268">
        <f t="shared" si="8"/>
        <v>0.89743589743589747</v>
      </c>
      <c r="AN14" s="238" t="s">
        <v>299</v>
      </c>
    </row>
    <row r="15" spans="2:40" ht="15.75">
      <c r="B15" s="251">
        <f>'EOR PV 244'!$C$5</f>
        <v>46274</v>
      </c>
      <c r="C15" s="252" t="s">
        <v>369</v>
      </c>
      <c r="D15" s="253" t="str">
        <f>'EOR PV 244'!$H$4</f>
        <v>PASA</v>
      </c>
      <c r="E15" s="254">
        <f>'EOR PV 244'!$H$6</f>
        <v>31</v>
      </c>
      <c r="F15" s="255">
        <f>'EOR PV 244'!$I$6</f>
        <v>23</v>
      </c>
      <c r="G15" s="256">
        <f t="shared" si="0"/>
        <v>0.74193548387096775</v>
      </c>
      <c r="H15" s="257">
        <f>'EOR PV 244'!$H$7</f>
        <v>18</v>
      </c>
      <c r="I15" s="257">
        <f>'EOR PV 244'!$I$7</f>
        <v>12</v>
      </c>
      <c r="J15" s="258">
        <f t="shared" si="1"/>
        <v>0.66666666666666663</v>
      </c>
      <c r="K15" s="259">
        <f>'EOR PV 244'!$H$8</f>
        <v>31</v>
      </c>
      <c r="L15" s="259">
        <f>'EOR PV 244'!$I$8</f>
        <v>31</v>
      </c>
      <c r="M15" s="260">
        <f t="shared" si="2"/>
        <v>1</v>
      </c>
      <c r="N15" s="261">
        <f>'EOR PV 244'!$H$9</f>
        <v>19</v>
      </c>
      <c r="O15" s="261">
        <f>'EOR PV 244'!$I$9</f>
        <v>19</v>
      </c>
      <c r="P15" s="262">
        <f t="shared" si="3"/>
        <v>1</v>
      </c>
      <c r="Q15" s="263">
        <f>'EOR PV 244'!$H$10</f>
        <v>13</v>
      </c>
      <c r="R15" s="263">
        <f>'EOR PV 244'!$I$10</f>
        <v>13</v>
      </c>
      <c r="S15" s="264">
        <f t="shared" si="4"/>
        <v>1</v>
      </c>
      <c r="T15" s="265">
        <f>'EOR PV 244'!$H$11</f>
        <v>5</v>
      </c>
      <c r="U15" s="265">
        <f>'EOR PV 244'!$I$11</f>
        <v>5</v>
      </c>
      <c r="V15" s="266">
        <f t="shared" si="5"/>
        <v>1</v>
      </c>
      <c r="W15" s="267">
        <f t="shared" si="6"/>
        <v>117</v>
      </c>
      <c r="X15" s="267">
        <f t="shared" si="7"/>
        <v>103</v>
      </c>
      <c r="Y15" s="268">
        <f t="shared" si="8"/>
        <v>0.88034188034188032</v>
      </c>
      <c r="AN15" s="238" t="s">
        <v>300</v>
      </c>
    </row>
    <row r="16" spans="2:40" ht="15.75">
      <c r="B16" s="251">
        <f>'EOR PV 285'!$C$5</f>
        <v>46274</v>
      </c>
      <c r="C16" s="252" t="s">
        <v>340</v>
      </c>
      <c r="D16" s="253" t="str">
        <f>'EOR PV 285'!$H$4</f>
        <v>PASA</v>
      </c>
      <c r="E16" s="254">
        <f>'EOR PV 285'!$H$6</f>
        <v>31</v>
      </c>
      <c r="F16" s="255">
        <f>'EOR PV 285'!$I$6</f>
        <v>18</v>
      </c>
      <c r="G16" s="256">
        <f t="shared" si="0"/>
        <v>0.58064516129032262</v>
      </c>
      <c r="H16" s="257">
        <f>'EOR PV 285'!$H$7</f>
        <v>18</v>
      </c>
      <c r="I16" s="257">
        <f>'EOR PV 285'!$I$7</f>
        <v>12</v>
      </c>
      <c r="J16" s="258">
        <f t="shared" si="1"/>
        <v>0.66666666666666663</v>
      </c>
      <c r="K16" s="259">
        <f>'EOR PV 285'!$H$8</f>
        <v>31</v>
      </c>
      <c r="L16" s="259">
        <f>'EOR PV 285'!$I$8</f>
        <v>31</v>
      </c>
      <c r="M16" s="260">
        <f t="shared" si="2"/>
        <v>1</v>
      </c>
      <c r="N16" s="261">
        <f>'EOR PV 285'!$H$9</f>
        <v>19</v>
      </c>
      <c r="O16" s="261">
        <f>'EOR PV 285'!$I$9</f>
        <v>18</v>
      </c>
      <c r="P16" s="262">
        <f t="shared" si="3"/>
        <v>0.94736842105263153</v>
      </c>
      <c r="Q16" s="263">
        <f>'EOR PV 285'!$H$10</f>
        <v>13</v>
      </c>
      <c r="R16" s="263">
        <f>'EOR PV 285'!$I$10</f>
        <v>13</v>
      </c>
      <c r="S16" s="264">
        <f t="shared" si="4"/>
        <v>1</v>
      </c>
      <c r="T16" s="265">
        <f>'EOR PV 285'!$H$11</f>
        <v>5</v>
      </c>
      <c r="U16" s="265">
        <f>'EOR PV 285'!$I$11</f>
        <v>5</v>
      </c>
      <c r="V16" s="266">
        <f t="shared" si="5"/>
        <v>1</v>
      </c>
      <c r="W16" s="267">
        <f t="shared" si="6"/>
        <v>117</v>
      </c>
      <c r="X16" s="267">
        <f t="shared" si="7"/>
        <v>97</v>
      </c>
      <c r="Y16" s="268">
        <f t="shared" si="8"/>
        <v>0.82905982905982911</v>
      </c>
      <c r="AN16" s="238" t="s">
        <v>301</v>
      </c>
    </row>
    <row r="17" spans="2:41" ht="15.75">
      <c r="B17" s="251">
        <f>'EOR PV 266'!$C$5</f>
        <v>46273</v>
      </c>
      <c r="C17" s="252" t="s">
        <v>341</v>
      </c>
      <c r="D17" s="253" t="str">
        <f>'EOR PV 266'!$H$4</f>
        <v>PASA</v>
      </c>
      <c r="E17" s="254">
        <f>'EOR PV 266'!$H$6</f>
        <v>31</v>
      </c>
      <c r="F17" s="255">
        <f>'EOR PV 266'!$I$6</f>
        <v>23</v>
      </c>
      <c r="G17" s="256">
        <f t="shared" si="0"/>
        <v>0.74193548387096775</v>
      </c>
      <c r="H17" s="257">
        <f>'EOR PV 266'!$H$7</f>
        <v>18</v>
      </c>
      <c r="I17" s="257">
        <f>'EOR PV 266'!$I$7</f>
        <v>13</v>
      </c>
      <c r="J17" s="258">
        <f t="shared" si="1"/>
        <v>0.72222222222222221</v>
      </c>
      <c r="K17" s="259">
        <f>'EOR PV 266'!$H$8</f>
        <v>31</v>
      </c>
      <c r="L17" s="259">
        <f>'EOR PV 266'!$I$8</f>
        <v>31</v>
      </c>
      <c r="M17" s="260">
        <f t="shared" si="2"/>
        <v>1</v>
      </c>
      <c r="N17" s="261">
        <f>'EOR PV 266'!$H$9</f>
        <v>19</v>
      </c>
      <c r="O17" s="261">
        <f>'EOR PV 266'!$I$9</f>
        <v>18</v>
      </c>
      <c r="P17" s="262">
        <f t="shared" si="3"/>
        <v>0.94736842105263153</v>
      </c>
      <c r="Q17" s="263">
        <f>'EOR PV 266'!$H$10</f>
        <v>13</v>
      </c>
      <c r="R17" s="263">
        <f>'EOR PV 266'!$I$10</f>
        <v>12</v>
      </c>
      <c r="S17" s="264">
        <f t="shared" si="4"/>
        <v>0.92307692307692313</v>
      </c>
      <c r="T17" s="265">
        <f>'EOR PV 266'!$H$11</f>
        <v>5</v>
      </c>
      <c r="U17" s="265">
        <f>'EOR PV 266'!$I$11</f>
        <v>4</v>
      </c>
      <c r="V17" s="266">
        <f t="shared" si="5"/>
        <v>0.8</v>
      </c>
      <c r="W17" s="267">
        <f t="shared" si="6"/>
        <v>117</v>
      </c>
      <c r="X17" s="267">
        <f t="shared" si="7"/>
        <v>101</v>
      </c>
      <c r="Y17" s="268">
        <f t="shared" si="8"/>
        <v>0.86324786324786329</v>
      </c>
      <c r="AN17" s="238" t="s">
        <v>302</v>
      </c>
    </row>
    <row r="18" spans="2:41" ht="15.75">
      <c r="B18" s="251">
        <f>'EOR PV 141'!$C$5</f>
        <v>46277</v>
      </c>
      <c r="C18" s="252" t="s">
        <v>342</v>
      </c>
      <c r="D18" s="253" t="str">
        <f>'EOR PV 141'!$H$4</f>
        <v>PASA</v>
      </c>
      <c r="E18" s="254">
        <f>'EOR PV 141'!$H$6</f>
        <v>31</v>
      </c>
      <c r="F18" s="255">
        <f>'EOR PV 141'!$I$6</f>
        <v>31</v>
      </c>
      <c r="G18" s="256">
        <f t="shared" si="0"/>
        <v>1</v>
      </c>
      <c r="H18" s="257">
        <f>'EOR PV 141'!$H$7</f>
        <v>18</v>
      </c>
      <c r="I18" s="257">
        <f>'EOR PV 141'!$I$7</f>
        <v>18</v>
      </c>
      <c r="J18" s="258">
        <f t="shared" si="1"/>
        <v>1</v>
      </c>
      <c r="K18" s="259">
        <f>'EOR PV 141'!$H$8</f>
        <v>31</v>
      </c>
      <c r="L18" s="259">
        <f>'EOR PV 141'!$I$8</f>
        <v>31</v>
      </c>
      <c r="M18" s="260">
        <f t="shared" si="2"/>
        <v>1</v>
      </c>
      <c r="N18" s="261">
        <f>'EOR PV 141'!$H$9</f>
        <v>19</v>
      </c>
      <c r="O18" s="261">
        <f>'EOR PV 141'!$I$9</f>
        <v>19</v>
      </c>
      <c r="P18" s="262">
        <f t="shared" si="3"/>
        <v>1</v>
      </c>
      <c r="Q18" s="263">
        <f>'EOR PV 141'!$H$10</f>
        <v>13</v>
      </c>
      <c r="R18" s="263">
        <f>'EOR PV 141'!$I$10</f>
        <v>13</v>
      </c>
      <c r="S18" s="264">
        <f t="shared" si="4"/>
        <v>1</v>
      </c>
      <c r="T18" s="265">
        <f>'EOR PV 141'!$H$11</f>
        <v>5</v>
      </c>
      <c r="U18" s="265">
        <f>'EOR PV 141'!$I$11</f>
        <v>5</v>
      </c>
      <c r="V18" s="266">
        <f t="shared" si="5"/>
        <v>1</v>
      </c>
      <c r="W18" s="267">
        <f t="shared" si="6"/>
        <v>117</v>
      </c>
      <c r="X18" s="267">
        <f t="shared" si="7"/>
        <v>117</v>
      </c>
      <c r="Y18" s="268">
        <f t="shared" si="8"/>
        <v>1</v>
      </c>
    </row>
    <row r="19" spans="2:41" ht="15.75">
      <c r="B19" s="251">
        <f>'EOR PV 225'!$C$5</f>
        <v>46272</v>
      </c>
      <c r="C19" s="252" t="s">
        <v>343</v>
      </c>
      <c r="D19" s="253" t="str">
        <f>'EOR PV 225'!$H$4</f>
        <v>PASA</v>
      </c>
      <c r="E19" s="254">
        <f>'EOR PV 225'!$H$6</f>
        <v>31</v>
      </c>
      <c r="F19" s="255">
        <f>'EOR PV 225'!$I$6</f>
        <v>26</v>
      </c>
      <c r="G19" s="256">
        <f t="shared" si="0"/>
        <v>0.83870967741935487</v>
      </c>
      <c r="H19" s="257">
        <f>'EOR PV 225'!$H$7</f>
        <v>18</v>
      </c>
      <c r="I19" s="257">
        <f>'EOR PV 225'!$I$7</f>
        <v>13</v>
      </c>
      <c r="J19" s="258">
        <f t="shared" si="1"/>
        <v>0.72222222222222221</v>
      </c>
      <c r="K19" s="259">
        <f>'EOR PV 225'!$H$8</f>
        <v>31</v>
      </c>
      <c r="L19" s="259">
        <f>'EOR PV 225'!$I$8</f>
        <v>26</v>
      </c>
      <c r="M19" s="260">
        <f t="shared" si="2"/>
        <v>0.83870967741935487</v>
      </c>
      <c r="N19" s="261">
        <f>'EOR PV 225'!$H$9</f>
        <v>19</v>
      </c>
      <c r="O19" s="261">
        <f>'EOR PV 225'!$I$9</f>
        <v>18</v>
      </c>
      <c r="P19" s="262">
        <f t="shared" si="3"/>
        <v>0.94736842105263153</v>
      </c>
      <c r="Q19" s="263">
        <f>'EOR PV 225'!$H$10</f>
        <v>13</v>
      </c>
      <c r="R19" s="263">
        <f>'EOR PV 225'!$I$10</f>
        <v>13</v>
      </c>
      <c r="S19" s="264">
        <f t="shared" si="4"/>
        <v>1</v>
      </c>
      <c r="T19" s="265">
        <f>'EOR PV 225'!$H$11</f>
        <v>5</v>
      </c>
      <c r="U19" s="265">
        <f>'EOR PV 225'!$I$11</f>
        <v>4</v>
      </c>
      <c r="V19" s="266">
        <f t="shared" si="5"/>
        <v>0.8</v>
      </c>
      <c r="W19" s="267">
        <f t="shared" si="6"/>
        <v>117</v>
      </c>
      <c r="X19" s="267">
        <f t="shared" si="7"/>
        <v>100</v>
      </c>
      <c r="Y19" s="268">
        <f t="shared" si="8"/>
        <v>0.85470085470085466</v>
      </c>
      <c r="AN19" s="238" t="s">
        <v>303</v>
      </c>
    </row>
    <row r="20" spans="2:41" ht="15.75">
      <c r="B20" s="251">
        <f>'EOR PV 284'!$C$5</f>
        <v>46272</v>
      </c>
      <c r="C20" s="252" t="s">
        <v>344</v>
      </c>
      <c r="D20" s="253" t="str">
        <f>'EOR PV 284'!$H$4</f>
        <v>PASA</v>
      </c>
      <c r="E20" s="254">
        <f>'EOR PV 284'!$H$6</f>
        <v>31</v>
      </c>
      <c r="F20" s="255">
        <f>'EOR PV 284'!$I$6</f>
        <v>21</v>
      </c>
      <c r="G20" s="256">
        <f t="shared" si="0"/>
        <v>0.67741935483870963</v>
      </c>
      <c r="H20" s="257">
        <f>'EOR PV 284'!$H$7</f>
        <v>18</v>
      </c>
      <c r="I20" s="257">
        <f>'EOR PV 284'!$I$7</f>
        <v>13</v>
      </c>
      <c r="J20" s="258">
        <f t="shared" si="1"/>
        <v>0.72222222222222221</v>
      </c>
      <c r="K20" s="259">
        <f>'EOR PV 284'!$H$8</f>
        <v>31</v>
      </c>
      <c r="L20" s="259">
        <f>'EOR PV 284'!$I$8</f>
        <v>31</v>
      </c>
      <c r="M20" s="260">
        <f t="shared" si="2"/>
        <v>1</v>
      </c>
      <c r="N20" s="261">
        <f>'EOR PV 284'!$H$9</f>
        <v>19</v>
      </c>
      <c r="O20" s="261">
        <f>'EOR PV 284'!$I$9</f>
        <v>13</v>
      </c>
      <c r="P20" s="262">
        <f t="shared" si="3"/>
        <v>0.68421052631578949</v>
      </c>
      <c r="Q20" s="263">
        <f>'EOR PV 284'!$H$10</f>
        <v>13</v>
      </c>
      <c r="R20" s="263">
        <f>'EOR PV 284'!$I$10</f>
        <v>13</v>
      </c>
      <c r="S20" s="264">
        <f t="shared" si="4"/>
        <v>1</v>
      </c>
      <c r="T20" s="265">
        <f>'EOR PV 284'!$H$11</f>
        <v>5</v>
      </c>
      <c r="U20" s="265">
        <f>'EOR PV 284'!$I$11</f>
        <v>4</v>
      </c>
      <c r="V20" s="266">
        <f t="shared" si="5"/>
        <v>0.8</v>
      </c>
      <c r="W20" s="267">
        <f t="shared" si="6"/>
        <v>117</v>
      </c>
      <c r="X20" s="267">
        <f t="shared" si="7"/>
        <v>95</v>
      </c>
      <c r="Y20" s="268">
        <f t="shared" si="8"/>
        <v>0.81196581196581197</v>
      </c>
      <c r="AN20" s="238" t="s">
        <v>304</v>
      </c>
    </row>
    <row r="21" spans="2:41" ht="15.75">
      <c r="B21" s="251">
        <f>'EOR PV 262'!$C$5</f>
        <v>46269</v>
      </c>
      <c r="C21" s="252" t="s">
        <v>345</v>
      </c>
      <c r="D21" s="253" t="str">
        <f>'EOR PV 262'!$H$4</f>
        <v>PASA</v>
      </c>
      <c r="E21" s="254">
        <f>'EOR PV 262'!$H$6</f>
        <v>31</v>
      </c>
      <c r="F21" s="255">
        <f>'EOR PV 262'!$I$6</f>
        <v>21</v>
      </c>
      <c r="G21" s="256">
        <f t="shared" si="0"/>
        <v>0.67741935483870963</v>
      </c>
      <c r="H21" s="257">
        <f>'EOR PV 262'!$H$7</f>
        <v>18</v>
      </c>
      <c r="I21" s="257">
        <f>'EOR PV 262'!$I$7</f>
        <v>18</v>
      </c>
      <c r="J21" s="258">
        <f t="shared" si="1"/>
        <v>1</v>
      </c>
      <c r="K21" s="259">
        <f>'EOR PV 262'!$H$8</f>
        <v>31</v>
      </c>
      <c r="L21" s="259">
        <f>'EOR PV 262'!$I$8</f>
        <v>19</v>
      </c>
      <c r="M21" s="260">
        <f t="shared" si="2"/>
        <v>0.61290322580645162</v>
      </c>
      <c r="N21" s="261">
        <f>'EOR PV 262'!$H$9</f>
        <v>19</v>
      </c>
      <c r="O21" s="261">
        <f>'EOR PV 262'!$I$9</f>
        <v>18</v>
      </c>
      <c r="P21" s="262">
        <f t="shared" si="3"/>
        <v>0.94736842105263153</v>
      </c>
      <c r="Q21" s="263">
        <f>'EOR PV 262'!$H$10</f>
        <v>13</v>
      </c>
      <c r="R21" s="263">
        <f>'EOR PV 262'!$I$10</f>
        <v>13</v>
      </c>
      <c r="S21" s="264">
        <f t="shared" si="4"/>
        <v>1</v>
      </c>
      <c r="T21" s="265">
        <f>'EOR PV 262'!$H$11</f>
        <v>5</v>
      </c>
      <c r="U21" s="265">
        <f>'EOR PV 262'!$I$11</f>
        <v>5</v>
      </c>
      <c r="V21" s="266">
        <f t="shared" si="5"/>
        <v>1</v>
      </c>
      <c r="W21" s="267">
        <f t="shared" si="6"/>
        <v>117</v>
      </c>
      <c r="X21" s="267">
        <f t="shared" si="7"/>
        <v>94</v>
      </c>
      <c r="Y21" s="268">
        <f t="shared" si="8"/>
        <v>0.80341880341880345</v>
      </c>
      <c r="Z21" s="269"/>
      <c r="AN21" s="238" t="s">
        <v>291</v>
      </c>
      <c r="AO21" s="238">
        <v>5</v>
      </c>
    </row>
    <row r="22" spans="2:41" ht="15.75">
      <c r="B22" s="251">
        <f>'EOR PV 283'!$C$5</f>
        <v>46269</v>
      </c>
      <c r="C22" s="252" t="s">
        <v>346</v>
      </c>
      <c r="D22" s="253" t="str">
        <f>'EOR PV 283'!$H$4</f>
        <v>PASA</v>
      </c>
      <c r="E22" s="254">
        <f>'EOR PV 283'!H6</f>
        <v>31</v>
      </c>
      <c r="F22" s="285">
        <f>'EOR PV 283'!I6</f>
        <v>29</v>
      </c>
      <c r="G22" s="256">
        <f t="shared" si="0"/>
        <v>0.93548387096774188</v>
      </c>
      <c r="H22" s="257">
        <f>'EOR PV 283'!H7</f>
        <v>18</v>
      </c>
      <c r="I22" s="286">
        <f>'EOR PV 283'!I7</f>
        <v>13</v>
      </c>
      <c r="J22" s="258">
        <f t="shared" si="1"/>
        <v>0.72222222222222221</v>
      </c>
      <c r="K22" s="259">
        <f>'EOR PV 283'!H8</f>
        <v>31</v>
      </c>
      <c r="L22" s="287">
        <f>'EOR PV 283'!I8</f>
        <v>24</v>
      </c>
      <c r="M22" s="260">
        <f t="shared" si="2"/>
        <v>0.77419354838709675</v>
      </c>
      <c r="N22" s="261">
        <f>'EOR PV 283'!H9</f>
        <v>19</v>
      </c>
      <c r="O22" s="288">
        <f>'EOR PV 283'!I9</f>
        <v>18</v>
      </c>
      <c r="P22" s="262">
        <f t="shared" si="3"/>
        <v>0.94736842105263153</v>
      </c>
      <c r="Q22" s="263">
        <f>'EOR PV 283'!H10</f>
        <v>13</v>
      </c>
      <c r="R22" s="289">
        <f>'EOR PV 283'!I10</f>
        <v>13</v>
      </c>
      <c r="S22" s="264">
        <f t="shared" si="4"/>
        <v>1</v>
      </c>
      <c r="T22" s="265">
        <f>'EOR PV 283'!H11</f>
        <v>5</v>
      </c>
      <c r="U22" s="290">
        <f>'EOR PV 283'!I11</f>
        <v>5</v>
      </c>
      <c r="V22" s="266">
        <f t="shared" si="5"/>
        <v>1</v>
      </c>
      <c r="W22" s="267">
        <f>'EOR PV 283'!H12</f>
        <v>117</v>
      </c>
      <c r="X22" s="291">
        <f>'EOR PV 283'!I12</f>
        <v>102</v>
      </c>
      <c r="Y22" s="268">
        <f t="shared" si="8"/>
        <v>0.87179487179487181</v>
      </c>
      <c r="Z22" s="269"/>
    </row>
    <row r="23" spans="2:41" ht="15.75">
      <c r="B23" s="251">
        <f>'EOR PV 249'!$C$5</f>
        <v>46281</v>
      </c>
      <c r="C23" s="252" t="s">
        <v>347</v>
      </c>
      <c r="D23" s="253" t="str">
        <f>'EOR 226'!$H$4</f>
        <v>PASA</v>
      </c>
      <c r="E23" s="254">
        <f>'EOR 226'!H6</f>
        <v>31</v>
      </c>
      <c r="F23" s="285">
        <f>'EOR 226'!I6</f>
        <v>26</v>
      </c>
      <c r="G23" s="256">
        <f t="shared" si="0"/>
        <v>0.83870967741935487</v>
      </c>
      <c r="H23" s="257">
        <f>'EOR 226'!H7</f>
        <v>18</v>
      </c>
      <c r="I23" s="286">
        <f>'EOR 226'!I7</f>
        <v>13</v>
      </c>
      <c r="J23" s="258">
        <f t="shared" si="1"/>
        <v>0.72222222222222221</v>
      </c>
      <c r="K23" s="259">
        <f>'EOR 226'!H8</f>
        <v>31</v>
      </c>
      <c r="L23" s="287">
        <f>'EOR 226'!I8</f>
        <v>31</v>
      </c>
      <c r="M23" s="260">
        <f t="shared" si="2"/>
        <v>1</v>
      </c>
      <c r="N23" s="261">
        <f>'EOR 226'!H9</f>
        <v>19</v>
      </c>
      <c r="O23" s="288">
        <f>'EOR 226'!I9</f>
        <v>14</v>
      </c>
      <c r="P23" s="262">
        <f t="shared" si="3"/>
        <v>0.73684210526315785</v>
      </c>
      <c r="Q23" s="263">
        <f>'EOR 226'!H10</f>
        <v>13</v>
      </c>
      <c r="R23" s="289">
        <f>'EOR 226'!I10</f>
        <v>13</v>
      </c>
      <c r="S23" s="264">
        <f t="shared" si="4"/>
        <v>1</v>
      </c>
      <c r="T23" s="265">
        <f>'EOR 226'!H11</f>
        <v>5</v>
      </c>
      <c r="U23" s="290">
        <f>'EOR 226'!I11</f>
        <v>5</v>
      </c>
      <c r="V23" s="266">
        <f t="shared" si="5"/>
        <v>1</v>
      </c>
      <c r="W23" s="267">
        <f>'EOR 226'!H12</f>
        <v>117</v>
      </c>
      <c r="X23" s="291">
        <f>'EOR 226'!I12</f>
        <v>102</v>
      </c>
      <c r="Y23" s="268">
        <f t="shared" si="8"/>
        <v>0.87179487179487181</v>
      </c>
      <c r="Z23" s="269"/>
    </row>
    <row r="24" spans="2:41" ht="15.75">
      <c r="B24" s="251">
        <f>'EOR PV 249'!$C$5</f>
        <v>46281</v>
      </c>
      <c r="C24" s="252" t="s">
        <v>348</v>
      </c>
      <c r="D24" s="253" t="str">
        <f>'EOR PV 249'!$H$4</f>
        <v>PASA</v>
      </c>
      <c r="E24" s="254">
        <f>'EOR PV 249'!H6</f>
        <v>31</v>
      </c>
      <c r="F24" s="285">
        <f>'EOR PV 249'!I6</f>
        <v>23</v>
      </c>
      <c r="G24" s="256">
        <f t="shared" si="0"/>
        <v>0.74193548387096775</v>
      </c>
      <c r="H24" s="257">
        <f>'EOR PV 249'!H7</f>
        <v>18</v>
      </c>
      <c r="I24" s="286">
        <f>'EOR PV 249'!I7</f>
        <v>13</v>
      </c>
      <c r="J24" s="258">
        <f t="shared" si="1"/>
        <v>0.72222222222222221</v>
      </c>
      <c r="K24" s="259">
        <f>'EOR PV 249'!H8</f>
        <v>31</v>
      </c>
      <c r="L24" s="287">
        <f>'EOR PV 249'!I8</f>
        <v>31</v>
      </c>
      <c r="M24" s="260">
        <f t="shared" si="2"/>
        <v>1</v>
      </c>
      <c r="N24" s="261">
        <f>'EOR PV 249'!H9</f>
        <v>19</v>
      </c>
      <c r="O24" s="288">
        <f>'EOR PV 249'!I9</f>
        <v>19</v>
      </c>
      <c r="P24" s="262">
        <f t="shared" si="3"/>
        <v>1</v>
      </c>
      <c r="Q24" s="263">
        <f>'EOR PV 249'!H10</f>
        <v>13</v>
      </c>
      <c r="R24" s="289">
        <f>'EOR PV 249'!I10</f>
        <v>13</v>
      </c>
      <c r="S24" s="264">
        <f t="shared" si="4"/>
        <v>1</v>
      </c>
      <c r="T24" s="265">
        <f>'EOR PV 249'!H11</f>
        <v>5</v>
      </c>
      <c r="U24" s="290">
        <f>'EOR PV 249'!I11</f>
        <v>4</v>
      </c>
      <c r="V24" s="266">
        <f t="shared" si="5"/>
        <v>0.8</v>
      </c>
      <c r="W24" s="267">
        <f>'EOR PV 249'!H12</f>
        <v>117</v>
      </c>
      <c r="X24" s="291">
        <f>'EOR PV 249'!I12</f>
        <v>103</v>
      </c>
      <c r="Y24" s="268">
        <f t="shared" si="8"/>
        <v>0.88034188034188032</v>
      </c>
      <c r="Z24" s="269"/>
    </row>
    <row r="25" spans="2:41" ht="15.75">
      <c r="B25" s="251">
        <f>'EOR PV 136'!$C$5</f>
        <v>46281</v>
      </c>
      <c r="C25" s="252" t="s">
        <v>349</v>
      </c>
      <c r="D25" s="253" t="str">
        <f>'EOR PV 136'!$H$4</f>
        <v>PASA</v>
      </c>
      <c r="E25" s="254">
        <f>'EOR PV 136'!H6</f>
        <v>31</v>
      </c>
      <c r="F25" s="285">
        <f>'EOR PV 136'!I6</f>
        <v>30</v>
      </c>
      <c r="G25" s="256">
        <f t="shared" si="0"/>
        <v>0.967741935483871</v>
      </c>
      <c r="H25" s="257">
        <f>'EOR PV 136'!H7</f>
        <v>18</v>
      </c>
      <c r="I25" s="286">
        <f>'EOR PV 136'!I7</f>
        <v>13</v>
      </c>
      <c r="J25" s="258">
        <f t="shared" si="1"/>
        <v>0.72222222222222221</v>
      </c>
      <c r="K25" s="259">
        <f>'EOR PV 136'!H8</f>
        <v>31</v>
      </c>
      <c r="L25" s="287">
        <f>'EOR PV 136'!I8</f>
        <v>31</v>
      </c>
      <c r="M25" s="260">
        <f t="shared" si="2"/>
        <v>1</v>
      </c>
      <c r="N25" s="261">
        <f>'EOR PV 136'!H9</f>
        <v>19</v>
      </c>
      <c r="O25" s="288">
        <f>'EOR PV 136'!I9</f>
        <v>13</v>
      </c>
      <c r="P25" s="262">
        <f t="shared" si="3"/>
        <v>0.68421052631578949</v>
      </c>
      <c r="Q25" s="263">
        <f>'EOR PV 136'!H10</f>
        <v>13</v>
      </c>
      <c r="R25" s="289">
        <f>'EOR PV 136'!I10</f>
        <v>13</v>
      </c>
      <c r="S25" s="264">
        <f t="shared" si="4"/>
        <v>1</v>
      </c>
      <c r="T25" s="265">
        <f>'EOR PV 136'!H11</f>
        <v>5</v>
      </c>
      <c r="U25" s="290">
        <f>'EOR PV 136'!I11</f>
        <v>5</v>
      </c>
      <c r="V25" s="266">
        <f t="shared" si="5"/>
        <v>1</v>
      </c>
      <c r="W25" s="267">
        <f>'EOR PV 136'!H12</f>
        <v>117</v>
      </c>
      <c r="X25" s="291">
        <f>'EOR PV 136'!I12</f>
        <v>105</v>
      </c>
      <c r="Y25" s="268">
        <f t="shared" si="8"/>
        <v>0.89743589743589747</v>
      </c>
      <c r="Z25" s="269"/>
    </row>
    <row r="26" spans="2:41" ht="15.75">
      <c r="B26" s="251">
        <f>'EOR PV295'!$C$5</f>
        <v>46276</v>
      </c>
      <c r="C26" s="252" t="s">
        <v>350</v>
      </c>
      <c r="D26" s="253" t="str">
        <f>'EOR PV 136'!$H$4</f>
        <v>PASA</v>
      </c>
      <c r="E26" s="254">
        <f>'EOR PV295'!H6</f>
        <v>31</v>
      </c>
      <c r="F26" s="254">
        <f>'EOR PV295'!I6</f>
        <v>31</v>
      </c>
      <c r="G26" s="256">
        <f t="shared" si="0"/>
        <v>1</v>
      </c>
      <c r="H26" s="257">
        <f>'EOR PV295'!H7</f>
        <v>18</v>
      </c>
      <c r="I26" s="257">
        <f>'EOR PV295'!I7</f>
        <v>18</v>
      </c>
      <c r="J26" s="258">
        <f t="shared" si="1"/>
        <v>1</v>
      </c>
      <c r="K26" s="259">
        <f>'EOR PV295'!H8</f>
        <v>31</v>
      </c>
      <c r="L26" s="259">
        <f>'EOR PV295'!I8</f>
        <v>31</v>
      </c>
      <c r="M26" s="260">
        <f t="shared" si="2"/>
        <v>1</v>
      </c>
      <c r="N26" s="261">
        <f>'EOR PV295'!H9</f>
        <v>19</v>
      </c>
      <c r="O26" s="261">
        <f>'EOR PV295'!I9</f>
        <v>19</v>
      </c>
      <c r="P26" s="262">
        <f t="shared" si="3"/>
        <v>1</v>
      </c>
      <c r="Q26" s="263">
        <f>'EOR PV295'!H10</f>
        <v>13</v>
      </c>
      <c r="R26" s="263">
        <f>'EOR PV295'!I10</f>
        <v>13</v>
      </c>
      <c r="S26" s="264">
        <f t="shared" si="4"/>
        <v>1</v>
      </c>
      <c r="T26" s="265">
        <f>'EOR PV295'!H11</f>
        <v>5</v>
      </c>
      <c r="U26" s="265">
        <f>'EOR PV295'!I11</f>
        <v>5</v>
      </c>
      <c r="V26" s="266">
        <f t="shared" si="5"/>
        <v>1</v>
      </c>
      <c r="W26" s="267">
        <f>'EOR PV295'!H12</f>
        <v>117</v>
      </c>
      <c r="X26" s="267">
        <f>'EOR PV295'!I12</f>
        <v>117</v>
      </c>
      <c r="Y26" s="268">
        <f t="shared" si="8"/>
        <v>1</v>
      </c>
      <c r="Z26" s="269"/>
    </row>
    <row r="27" spans="2:41" ht="16.5" thickBot="1">
      <c r="B27" s="251">
        <f>'EOR PV 296'!$C$5</f>
        <v>46272</v>
      </c>
      <c r="C27" s="252" t="s">
        <v>351</v>
      </c>
      <c r="D27" s="253" t="str">
        <f>'EOR PV 136'!$H$4</f>
        <v>PASA</v>
      </c>
      <c r="E27" s="254">
        <f>'EOR PV 296'!H6</f>
        <v>31</v>
      </c>
      <c r="F27" s="254">
        <f>'EOR PV 296'!I6</f>
        <v>31</v>
      </c>
      <c r="G27" s="256">
        <f t="shared" si="0"/>
        <v>1</v>
      </c>
      <c r="H27" s="257">
        <f>'EOR PV 296'!H7</f>
        <v>18</v>
      </c>
      <c r="I27" s="257">
        <f>'EOR PV 296'!I7</f>
        <v>18</v>
      </c>
      <c r="J27" s="258">
        <f t="shared" si="1"/>
        <v>1</v>
      </c>
      <c r="K27" s="259">
        <f>'EOR PV 296'!H8</f>
        <v>31</v>
      </c>
      <c r="L27" s="259">
        <f>'EOR PV 296'!I8</f>
        <v>31</v>
      </c>
      <c r="M27" s="260">
        <f t="shared" si="2"/>
        <v>1</v>
      </c>
      <c r="N27" s="261">
        <f>'EOR PV 296'!H9</f>
        <v>19</v>
      </c>
      <c r="O27" s="261">
        <f>'EOR PV 296'!I9</f>
        <v>19</v>
      </c>
      <c r="P27" s="262">
        <f t="shared" si="3"/>
        <v>1</v>
      </c>
      <c r="Q27" s="263">
        <f>'EOR PV 296'!H10</f>
        <v>13</v>
      </c>
      <c r="R27" s="263">
        <f>'EOR PV 296'!I10</f>
        <v>13</v>
      </c>
      <c r="S27" s="264">
        <f t="shared" si="4"/>
        <v>1</v>
      </c>
      <c r="T27" s="265">
        <f>'EOR PV 296'!H11</f>
        <v>5</v>
      </c>
      <c r="U27" s="265">
        <f>'EOR PV 296'!I11</f>
        <v>5</v>
      </c>
      <c r="V27" s="266">
        <f t="shared" si="5"/>
        <v>1</v>
      </c>
      <c r="W27" s="267">
        <f>'EOR PV 296'!H12</f>
        <v>117</v>
      </c>
      <c r="X27" s="267">
        <f>'EOR PV 296'!I12</f>
        <v>117</v>
      </c>
      <c r="Y27" s="268">
        <f t="shared" si="8"/>
        <v>1</v>
      </c>
      <c r="Z27" s="269"/>
    </row>
    <row r="28" spans="2:41" ht="16.5" thickBot="1">
      <c r="B28" s="612" t="s">
        <v>305</v>
      </c>
      <c r="C28" s="613"/>
      <c r="D28" s="282">
        <v>19</v>
      </c>
      <c r="E28" s="282">
        <f>SUM(E9:E27)</f>
        <v>589</v>
      </c>
      <c r="F28" s="292">
        <f>SUM(F9:F27)</f>
        <v>482</v>
      </c>
      <c r="G28" s="283">
        <f t="shared" ref="G28" si="9">F28/E28</f>
        <v>0.8183361629881154</v>
      </c>
      <c r="H28" s="282">
        <f>SUM(H9:H27)</f>
        <v>342</v>
      </c>
      <c r="I28" s="282">
        <f>SUM(I9:I27)</f>
        <v>283</v>
      </c>
      <c r="J28" s="283">
        <f t="shared" ref="J28" si="10">I28/H28</f>
        <v>0.82748538011695905</v>
      </c>
      <c r="K28" s="282">
        <f>SUM(K9:K27)</f>
        <v>589</v>
      </c>
      <c r="L28" s="282">
        <f>SUM(L9:L27)</f>
        <v>565</v>
      </c>
      <c r="M28" s="283">
        <f t="shared" ref="M28" si="11">L28/K28</f>
        <v>0.95925297113752117</v>
      </c>
      <c r="N28" s="282">
        <f>SUM(N9:N27)</f>
        <v>361</v>
      </c>
      <c r="O28" s="282">
        <f>SUM(O9:O27)</f>
        <v>336</v>
      </c>
      <c r="P28" s="283">
        <f t="shared" ref="P28" si="12">O28/N28</f>
        <v>0.93074792243767313</v>
      </c>
      <c r="Q28" s="282">
        <f>SUM(Q9:Q27)</f>
        <v>247</v>
      </c>
      <c r="R28" s="282">
        <f>SUM(R9:R27)</f>
        <v>243</v>
      </c>
      <c r="S28" s="283">
        <f t="shared" ref="S28" si="13">R28/Q28</f>
        <v>0.98380566801619429</v>
      </c>
      <c r="T28" s="282">
        <f>SUM(T9:T27)</f>
        <v>95</v>
      </c>
      <c r="U28" s="282">
        <f>SUM(U9:U27)</f>
        <v>89</v>
      </c>
      <c r="V28" s="283">
        <f t="shared" ref="V28" si="14">U28/T28</f>
        <v>0.93684210526315792</v>
      </c>
      <c r="W28" s="282">
        <f>SUM(W9:W27)</f>
        <v>2223</v>
      </c>
      <c r="X28" s="282">
        <f>SUM(X9:X27)</f>
        <v>1998</v>
      </c>
      <c r="Y28" s="283">
        <f t="shared" ref="Y28" si="15">X28/W28</f>
        <v>0.89878542510121462</v>
      </c>
    </row>
  </sheetData>
  <mergeCells count="17">
    <mergeCell ref="D6:V6"/>
    <mergeCell ref="B2:C2"/>
    <mergeCell ref="B3:C3"/>
    <mergeCell ref="D3:F3"/>
    <mergeCell ref="B4:C4"/>
    <mergeCell ref="D4:F4"/>
    <mergeCell ref="W7:Y7"/>
    <mergeCell ref="B28:C28"/>
    <mergeCell ref="N7:P7"/>
    <mergeCell ref="Q7:S7"/>
    <mergeCell ref="T7:V7"/>
    <mergeCell ref="B7:B8"/>
    <mergeCell ref="C7:C8"/>
    <mergeCell ref="D7:D8"/>
    <mergeCell ref="E7:G7"/>
    <mergeCell ref="H7:J7"/>
    <mergeCell ref="K7:M7"/>
  </mergeCells>
  <phoneticPr fontId="35"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8B596027719447B113DE599BC17060" ma:contentTypeVersion="18" ma:contentTypeDescription="Create a new document." ma:contentTypeScope="" ma:versionID="59daccee987101c20057590424d67467">
  <xsd:schema xmlns:xsd="http://www.w3.org/2001/XMLSchema" xmlns:xs="http://www.w3.org/2001/XMLSchema" xmlns:p="http://schemas.microsoft.com/office/2006/metadata/properties" xmlns:ns2="37bae0bf-db30-46c8-9621-a76407a110e3" xmlns:ns3="084ece9c-fa41-4199-85dd-42c91ec6c709" targetNamespace="http://schemas.microsoft.com/office/2006/metadata/properties" ma:root="true" ma:fieldsID="a24eea87cc935fdec196daf0c7412838" ns2:_="" ns3:_="">
    <xsd:import namespace="37bae0bf-db30-46c8-9621-a76407a110e3"/>
    <xsd:import namespace="084ece9c-fa41-4199-85dd-42c91ec6c709"/>
    <xsd:element name="properties">
      <xsd:complexType>
        <xsd:sequence>
          <xsd:element name="documentManagement">
            <xsd:complexType>
              <xsd:all>
                <xsd:element ref="ns2:MediaServiceMetadata" minOccurs="0"/>
                <xsd:element ref="ns2:MediaServiceFastMetadata" minOccurs="0"/>
                <xsd:element ref="ns2:_Flow_SignoffStatus"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LengthInSeconds" minOccurs="0"/>
                <xsd:element ref="ns2:MediaServiceOCR"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bae0bf-db30-46c8-9621-a76407a110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0" nillable="true" ma:displayName="Sign-off status" ma:internalName="Sign_x002d_off_x0020_status">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b928058-2a7b-4352-b909-7838aca4475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4ece9c-fa41-4199-85dd-42c91ec6c709"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7760497-fbe8-4e67-9147-70d27a7906c8}" ma:internalName="TaxCatchAll" ma:showField="CatchAllData" ma:web="084ece9c-fa41-4199-85dd-42c91ec6c7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Flow_SignoffStatus xmlns="37bae0bf-db30-46c8-9621-a76407a110e3" xsi:nil="true"/>
    <lcf76f155ced4ddcb4097134ff3c332f xmlns="37bae0bf-db30-46c8-9621-a76407a110e3">
      <Terms xmlns="http://schemas.microsoft.com/office/infopath/2007/PartnerControls"/>
    </lcf76f155ced4ddcb4097134ff3c332f>
    <TaxCatchAll xmlns="084ece9c-fa41-4199-85dd-42c91ec6c70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4C1B0C-073C-4D11-9B87-8693158E0D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7bae0bf-db30-46c8-9621-a76407a110e3"/>
    <ds:schemaRef ds:uri="084ece9c-fa41-4199-85dd-42c91ec6c7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41BD411-9022-483C-BBA6-D7C40CBE390D}">
  <ds:schemaRefs>
    <ds:schemaRef ds:uri="http://schemas.microsoft.com/office/infopath/2007/PartnerControls"/>
    <ds:schemaRef ds:uri="http://purl.org/dc/terms/"/>
    <ds:schemaRef ds:uri="http://purl.org/dc/elements/1.1/"/>
    <ds:schemaRef ds:uri="37bae0bf-db30-46c8-9621-a76407a110e3"/>
    <ds:schemaRef ds:uri="http://schemas.microsoft.com/office/2006/documentManagement/types"/>
    <ds:schemaRef ds:uri="http://www.w3.org/XML/1998/namespace"/>
    <ds:schemaRef ds:uri="http://schemas.openxmlformats.org/package/2006/metadata/core-properties"/>
    <ds:schemaRef ds:uri="084ece9c-fa41-4199-85dd-42c91ec6c709"/>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9D1C5A15-3FF1-4DB8-B507-EA2D128B86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43</vt:i4>
      </vt:variant>
      <vt:variant>
        <vt:lpstr>Rangos con nombre</vt:lpstr>
      </vt:variant>
      <vt:variant>
        <vt:i4>2</vt:i4>
      </vt:variant>
    </vt:vector>
  </HeadingPairs>
  <TitlesOfParts>
    <vt:vector size="45" baseType="lpstr">
      <vt:lpstr> Revisión de operaciones</vt:lpstr>
      <vt:lpstr> Tanteo</vt:lpstr>
      <vt:lpstr>EOR PV PV 180</vt:lpstr>
      <vt:lpstr>P.A. PV 180</vt:lpstr>
      <vt:lpstr>EOR PV 296</vt:lpstr>
      <vt:lpstr>P.A. PV 296</vt:lpstr>
      <vt:lpstr>EOR PV 106</vt:lpstr>
      <vt:lpstr>P.A. PV 106</vt:lpstr>
      <vt:lpstr>EOR PV295</vt:lpstr>
      <vt:lpstr>P.A. PV295</vt:lpstr>
      <vt:lpstr>EOR PV 257</vt:lpstr>
      <vt:lpstr>P.A. PV 257</vt:lpstr>
      <vt:lpstr>EOR PV 141</vt:lpstr>
      <vt:lpstr>PA. PV 141</vt:lpstr>
      <vt:lpstr>EOR PV 102</vt:lpstr>
      <vt:lpstr>P.A. PV 102</vt:lpstr>
      <vt:lpstr>EOR PV 290</vt:lpstr>
      <vt:lpstr>P.A. PV 290</vt:lpstr>
      <vt:lpstr>EOR PV 276</vt:lpstr>
      <vt:lpstr>P.A. PV 276</vt:lpstr>
      <vt:lpstr>EOR PV 266</vt:lpstr>
      <vt:lpstr>P.A. PV 266</vt:lpstr>
      <vt:lpstr>EOR PV 244</vt:lpstr>
      <vt:lpstr>P.A. PV 244</vt:lpstr>
      <vt:lpstr>EOR PV 285</vt:lpstr>
      <vt:lpstr>P.A. PV 285</vt:lpstr>
      <vt:lpstr>EOR PV 225</vt:lpstr>
      <vt:lpstr>P.A. PV 225</vt:lpstr>
      <vt:lpstr>EOR PV 284</vt:lpstr>
      <vt:lpstr>P.A. PV 284</vt:lpstr>
      <vt:lpstr>EOR PV 262</vt:lpstr>
      <vt:lpstr>P.A. PV 262</vt:lpstr>
      <vt:lpstr>EOR PV 283</vt:lpstr>
      <vt:lpstr>P.A. PV 283 </vt:lpstr>
      <vt:lpstr>EOR 226</vt:lpstr>
      <vt:lpstr>P.A. PV 226</vt:lpstr>
      <vt:lpstr>EOR PV 249</vt:lpstr>
      <vt:lpstr>P.A. PV249</vt:lpstr>
      <vt:lpstr>EOR PV 136</vt:lpstr>
      <vt:lpstr>P.A. PV 136</vt:lpstr>
      <vt:lpstr>EOR PV8</vt:lpstr>
      <vt:lpstr>P.A. PV8</vt:lpstr>
      <vt:lpstr>CONSOLIDADO</vt:lpstr>
      <vt:lpstr>'EOR PV 102'!Área_de_impresión</vt:lpstr>
      <vt:lpstr>'EOR PV PV 180'!Área_de_impresión</vt:lpstr>
    </vt:vector>
  </TitlesOfParts>
  <Company>PC Helps Support,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Lorelei Feldman</dc:creator>
  <cp:lastModifiedBy>CAROLINA ZAMORA CASTILLO</cp:lastModifiedBy>
  <cp:lastPrinted>2025-03-31T22:26:38Z</cp:lastPrinted>
  <dcterms:created xsi:type="dcterms:W3CDTF">2012-03-21T14:16:28Z</dcterms:created>
  <dcterms:modified xsi:type="dcterms:W3CDTF">2026-09-26T23:00:32Z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0x010100948B596027719447B113DE599BC17060</vt:lpwstr>
  </property>
  <property fmtid="{D5CDD505-2E9C-101B-9397-08002B2CF9AE}" pid="3" name="ComplianceAssetId">
    <vt:lpwstr/>
  </property>
  <property fmtid="{D5CDD505-2E9C-101B-9397-08002B2CF9AE}" pid="4" name="Order">
    <vt:r8>11179100</vt:r8>
  </property>
  <property fmtid="{D5CDD505-2E9C-101B-9397-08002B2CF9AE}" pid="5" name="_ExtendedDescription">
    <vt:lpwstr/>
  </property>
  <property fmtid="{D5CDD505-2E9C-101B-9397-08002B2CF9AE}" pid="6" name="TriggerFlowInfo">
    <vt:lpwstr/>
  </property>
</Properties>
</file>